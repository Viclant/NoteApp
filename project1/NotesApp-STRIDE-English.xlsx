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5553d996c49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IDE" sheetId="1" r:id="R47c2a227c3674c9c"/>
    <x:sheet xmlns:r="http://schemas.openxmlformats.org/officeDocument/2006/relationships" name="Risk analysis" sheetId="2" r:id="Ra70f1be10ba74ead"/>
    <x:sheet xmlns:r="http://schemas.openxmlformats.org/officeDocument/2006/relationships" name="Top 3" sheetId="3" r:id="R8854da7afa2f49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1"/>
      <x:color rgb="FF263646"/>
      <x:name val="Arial"/>
    </x:font>
    <x:font>
      <x:b/>
      <x:sz val="16"/>
      <x:color rgb="FF203A55"/>
      <x:name val="Arial"/>
    </x:font>
    <x:font>
      <x:sz val="10"/>
      <x:color rgb="FF556577"/>
      <x:name val="Arial"/>
    </x:font>
    <x:font>
      <x:b/>
      <x:sz val="11"/>
      <x:color rgb="FFFFFFFF"/>
      <x:name val="Arial"/>
    </x:font>
    <x:font>
      <x:b/>
      <x:sz val="11"/>
      <x:color rgb="FF203A55"/>
      <x:name val="Arial"/>
    </x:font>
    <x:font>
      <x:sz val="11"/>
      <x:color rgb="FF222222"/>
      <x:name val="Arial"/>
    </x:font>
    <x:font>
      <x:b/>
      <x:sz val="11"/>
      <x:color rgb="FF22222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03A55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E7E7E7"/>
      </x:patternFill>
    </x:fill>
    <x:fill>
      <x:patternFill patternType="solid">
        <x:fgColor rgb="FFFFFFFF"/>
      </x:patternFill>
    </x:fill>
    <x:fill>
      <x:patternFill patternType="solid">
        <x:fgColor rgb="FFE7E7E7"/>
      </x:patternFill>
    </x:fill>
  </x:fills>
  <x:borders count="8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CE4EC"/>
      </x:bottom>
    </x:border>
    <x:border>
      <x:top style="thin">
        <x:color rgb="FFDCE4EC"/>
      </x:top>
      <x:bottom style="thin">
        <x:color rgb="FFDCE4EC"/>
      </x:bottom>
    </x:border>
    <x:border>
      <x:top style="thin">
        <x:color rgb="FFDCE4EC"/>
      </x:top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0" borderId="4" xfId="0" applyNumberFormat="1" applyFont="1" applyFill="1" applyBorder="1" applyAlignment="1">
      <x:alignment horizontal="left" vertical="top" wrapText="1"/>
    </x:xf>
    <x:xf numFmtId="0" fontId="1" fillId="0" borderId="5" xfId="0" applyNumberFormat="1" applyFont="1" applyFill="1" applyBorder="1" applyAlignment="1">
      <x:alignment horizontal="left" vertical="top" wrapText="1"/>
    </x:xf>
    <x:xf numFmtId="0" fontId="1" fillId="0" borderId="6" xfId="0" applyNumberFormat="1" applyFont="1" applyFill="1" applyBorder="1" applyAlignment="1">
      <x:alignment horizontal="left" vertical="top" wrapText="1"/>
    </x:xf>
    <x:xf numFmtId="0" fontId="1" fillId="3" borderId="4" xfId="0" applyNumberFormat="1" applyFont="1" applyFill="1" applyBorder="1" applyAlignment="1">
      <x:alignment horizontal="left" vertical="top" wrapText="1"/>
    </x:xf>
    <x:xf numFmtId="0" fontId="1" fillId="3" borderId="5" xfId="0" applyNumberFormat="1" applyFont="1" applyFill="1" applyBorder="1" applyAlignment="1">
      <x:alignment horizontal="left" vertical="top" wrapText="1"/>
    </x:xf>
    <x:xf numFmtId="0" fontId="5" fillId="3" borderId="4" xfId="0" applyNumberFormat="1" applyFont="1" applyFill="1" applyBorder="1" applyAlignment="1">
      <x:alignment horizontal="left" vertical="top" wrapText="1"/>
    </x:xf>
    <x:xf numFmtId="0" fontId="5" fillId="0" borderId="5" xfId="0" applyNumberFormat="1" applyFont="1" applyFill="1" applyBorder="1" applyAlignment="1">
      <x:alignment horizontal="left" vertical="top" wrapText="1"/>
    </x:xf>
    <x:xf numFmtId="0" fontId="5" fillId="3" borderId="5" xfId="0" applyNumberFormat="1" applyFont="1" applyFill="1" applyBorder="1" applyAlignment="1">
      <x:alignment horizontal="left" vertical="top" wrapText="1"/>
    </x:xf>
    <x:xf numFmtId="0" fontId="5" fillId="0" borderId="6" xfId="0" applyNumberFormat="1" applyFont="1" applyFill="1" applyBorder="1" applyAlignment="1">
      <x:alignment horizontal="left"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5" fillId="0" borderId="6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0" fontId="7" fillId="3" borderId="4" xfId="0" applyNumberFormat="1" applyFont="1" applyFill="1" applyBorder="1" applyAlignment="1">
      <x:alignment horizontal="center" vertical="top" wrapText="1"/>
    </x:xf>
    <x:xf numFmtId="0" fontId="6" fillId="3" borderId="4" xfId="0" applyNumberFormat="1" applyFont="1" applyFill="1" applyBorder="1" applyAlignment="1">
      <x:alignment horizontal="left" vertical="top" wrapText="1"/>
    </x:xf>
    <x:xf numFmtId="0" fontId="7" fillId="0" borderId="5" xfId="0" applyNumberFormat="1" applyFont="1" applyFill="1" applyBorder="1" applyAlignment="1">
      <x:alignment horizontal="center" vertical="top" wrapText="1"/>
    </x:xf>
    <x:xf numFmtId="0" fontId="6" fillId="0" borderId="5" xfId="0" applyNumberFormat="1" applyFont="1" applyFill="1" applyBorder="1" applyAlignment="1">
      <x:alignment horizontal="left" vertical="top" wrapText="1"/>
    </x:xf>
    <x:xf numFmtId="0" fontId="7" fillId="3" borderId="5" xfId="0" applyNumberFormat="1" applyFont="1" applyFill="1" applyBorder="1" applyAlignment="1">
      <x:alignment horizontal="center" vertical="top" wrapText="1"/>
    </x:xf>
    <x:xf numFmtId="0" fontId="6" fillId="3" borderId="5" xfId="0" applyNumberFormat="1" applyFont="1" applyFill="1" applyBorder="1" applyAlignment="1">
      <x:alignment horizontal="left" vertical="top" wrapText="1"/>
    </x:xf>
    <x:xf numFmtId="0" fontId="7" fillId="0" borderId="6" xfId="0" applyNumberFormat="1" applyFont="1" applyFill="1" applyBorder="1" applyAlignment="1">
      <x:alignment horizontal="center" vertical="top" wrapText="1"/>
    </x:xf>
    <x:xf numFmtId="0" fontId="6" fillId="0" borderId="6" xfId="0" applyNumberFormat="1" applyFont="1" applyFill="1" applyBorder="1" applyAlignment="1">
      <x:alignment horizontal="left" vertical="top" wrapText="1"/>
    </x:xf>
    <x:xf numFmtId="0" fontId="6" fillId="4" borderId="0" xfId="0" applyNumberFormat="1" applyFont="1" applyFill="1" applyBorder="1" applyAlignment="1">
      <x:alignment vertical="top"/>
    </x:xf>
    <x:xf numFmtId="0" fontId="7" fillId="4" borderId="0" xfId="0" applyNumberFormat="1" applyFont="1" applyFill="1" applyBorder="1" applyAlignment="1">
      <x:alignment vertical="top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3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horizontal="center" vertical="top" wrapText="1"/>
    </x:xf>
    <x:xf numFmtId="0" fontId="6" fillId="4" borderId="4" xfId="0" applyNumberFormat="1" applyFont="1" applyFill="1" applyBorder="1" applyAlignment="1">
      <x:alignment horizontal="left" vertical="top" wrapText="1"/>
    </x:xf>
    <x:xf numFmtId="0" fontId="7" fillId="4" borderId="5" xfId="0" applyNumberFormat="1" applyFont="1" applyFill="1" applyBorder="1" applyAlignment="1">
      <x:alignment horizontal="center" vertical="top" wrapText="1"/>
    </x:xf>
    <x:xf numFmtId="0" fontId="6" fillId="4" borderId="5" xfId="0" applyNumberFormat="1" applyFont="1" applyFill="1" applyBorder="1" applyAlignment="1">
      <x:alignment horizontal="left" vertical="top" wrapText="1"/>
    </x:xf>
    <x:xf numFmtId="0" fontId="7" fillId="4" borderId="6" xfId="0" applyNumberFormat="1" applyFont="1" applyFill="1" applyBorder="1" applyAlignment="1">
      <x:alignment horizontal="center" vertical="top" wrapText="1"/>
    </x:xf>
    <x:xf numFmtId="0" fontId="6" fillId="4" borderId="6" xfId="0" applyNumberFormat="1" applyFont="1" applyFill="1" applyBorder="1" applyAlignment="1">
      <x:alignment horizontal="left" vertical="top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7" fillId="5" borderId="3" xfId="0" applyNumberFormat="1" applyFont="1" applyFill="1" applyBorder="1" applyAlignment="1">
      <x:alignment horizontal="center" vertical="center" wrapText="1"/>
    </x:xf>
    <x:xf numFmtId="0" fontId="7" fillId="5" borderId="7" xfId="0" applyNumberFormat="1" applyFont="1" applyFill="1" applyBorder="1" applyAlignment="1">
      <x:alignment horizontal="center" vertical="center" wrapText="1"/>
    </x:xf>
    <x:xf numFmtId="0" fontId="7" fillId="4" borderId="7" xfId="0" applyNumberFormat="1" applyFont="1" applyFill="1" applyBorder="1" applyAlignment="1">
      <x:alignment horizontal="center" vertical="top" wrapText="1"/>
    </x:xf>
    <x:xf numFmtId="0" fontId="6" fillId="4" borderId="7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top"/>
    </x:xf>
    <x:xf numFmtId="0" fontId="7" fillId="6" borderId="0" xfId="0" applyNumberFormat="1" applyFont="1" applyFill="1" applyBorder="1" applyAlignment="1">
      <x:alignment vertical="top"/>
    </x:xf>
    <x:xf numFmtId="200" fontId="6" fillId="6" borderId="0" xfId="0" applyNumberFormat="1" applyFont="1" applyFill="1" applyBorder="1" applyAlignment="1">
      <x:alignment vertical="top"/>
    </x:xf>
    <x:xf numFmtId="200" fontId="6" fillId="6" borderId="0" xfId="0" applyNumberFormat="1" applyFont="1" applyFill="1" applyBorder="1" applyAlignment="1">
      <x:alignment horizontal="right" vertical="top"/>
    </x:xf>
    <x:xf numFmtId="0" fontId="6" fillId="6" borderId="0" xfId="0" applyNumberFormat="1" applyFont="1" applyFill="1" applyBorder="1" applyAlignment="1">
      <x:alignment vertical="top" wrapText="1"/>
    </x:xf>
    <x:xf numFmtId="200" fontId="6" fillId="6" borderId="0" xfId="0" applyNumberFormat="1" applyFont="1" applyFill="1" applyBorder="1" applyAlignment="1">
      <x:alignment horizontal="right" vertical="top" wrapText="1"/>
    </x:xf>
    <x:xf numFmtId="0" fontId="6" fillId="6" borderId="7" xfId="0" applyNumberFormat="1" applyFont="1" applyFill="1" applyBorder="1" applyAlignment="1">
      <x:alignment vertical="top" wrapText="1"/>
    </x:xf>
    <x:xf numFmtId="200" fontId="6" fillId="6" borderId="7" xfId="0" applyNumberFormat="1" applyFont="1" applyFill="1" applyBorder="1" applyAlignment="1">
      <x:alignment horizontal="right"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horizontal="center" vertical="top" wrapText="1"/>
    </x:xf>
    <x:xf numFmtId="0" fontId="7" fillId="7" borderId="7" xfId="0" applyNumberFormat="1" applyFont="1" applyFill="1" applyBorder="1" applyAlignment="1">
      <x:alignment horizontal="center" vertical="center" wrapText="1"/>
    </x:xf>
    <x:xf numFmtId="200" fontId="6" fillId="6" borderId="0" xfId="0" applyNumberFormat="1" applyFont="1" applyFill="1" applyBorder="1" applyAlignment="1">
      <x:alignment vertical="top" wrapText="1"/>
    </x:xf>
    <x:xf numFmtId="200" fontId="6" fillId="6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d48666892f4642" /><Relationship Type="http://schemas.openxmlformats.org/officeDocument/2006/relationships/theme" Target="/xl/theme/theme1.xml" Id="R6340a793e4144564" /><Relationship Type="http://schemas.openxmlformats.org/officeDocument/2006/relationships/sharedStrings" Target="/xl/sharedStrings.xml" Id="R8516928589a34c5f" /><Relationship Type="http://schemas.openxmlformats.org/officeDocument/2006/relationships/worksheet" Target="/xl/worksheets/sheet1.xml" Id="R47c2a227c3674c9c" /><Relationship Type="http://schemas.openxmlformats.org/officeDocument/2006/relationships/worksheet" Target="/xl/worksheets/sheet2.xml" Id="Ra70f1be10ba74ead" /><Relationship Type="http://schemas.openxmlformats.org/officeDocument/2006/relationships/worksheet" Target="/xl/worksheets/sheet3.xml" Id="R8854da7afa2f492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A55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.75" hidden="0" customWidth="1"/>
    <x:col min="2" max="2" width="6.880000114440918" hidden="0" customWidth="1"/>
    <x:col min="3" max="3" width="29.3799991607666" hidden="0" customWidth="1"/>
    <x:col min="4" max="4" width="31.25" hidden="0" customWidth="1"/>
    <x:col min="5" max="5" width="31.25" hidden="0" customWidth="1"/>
    <x:col min="6" max="6" width="31.25" hidden="0" customWidth="1"/>
    <x:col min="7" max="7" width="31.25" hidden="0" customWidth="1"/>
    <x:col min="8" max="8" width="31.25" hidden="0" customWidth="1"/>
    <x:col min="9" max="9" width="31.25" hidden="0" customWidth="1"/>
  </x:cols>
  <x:sheetData>
    <x:row r="1" ht="20" customHeight="1">
      <x:c r="A1" s="41"/>
      <x:c r="B1" s="41"/>
      <x:c r="C1" s="41"/>
      <x:c r="D1" s="41"/>
      <x:c r="E1" s="41"/>
      <x:c r="F1" s="41"/>
      <x:c r="G1" s="41"/>
      <x:c r="H1" s="41"/>
      <x:c r="I1" s="41"/>
    </x:row>
    <x:row r="2" ht="22" customHeight="1">
      <x:c r="A2" s="41"/>
      <x:c r="B2" s="42" t="str">
        <x:v>NotesApp STRIDE first draft</x:v>
      </x:c>
      <x:c r="C2" s="42"/>
      <x:c r="D2" s="42"/>
      <x:c r="E2" s="42"/>
      <x:c r="F2" s="42"/>
      <x:c r="G2" s="42"/>
      <x:c r="H2" s="42"/>
      <x:c r="I2" s="42"/>
    </x:row>
    <x:row r="3" ht="20" customHeight="1">
      <x:c r="A3" s="41"/>
      <x:c r="B3" s="41" t="str">
        <x:v>Possible threats, not tested. N/A: no clear threat for this flow.</x:v>
      </x:c>
      <x:c r="C3" s="41"/>
      <x:c r="D3" s="41"/>
      <x:c r="E3" s="41"/>
      <x:c r="F3" s="41"/>
      <x:c r="G3" s="41"/>
      <x:c r="H3" s="41"/>
      <x:c r="I3" s="41"/>
    </x:row>
    <x:row r="4" ht="4.5" customHeight="1">
      <x:c r="A4" s="41"/>
      <x:c r="B4" s="41"/>
      <x:c r="C4" s="41"/>
      <x:c r="D4" s="41"/>
      <x:c r="E4" s="41"/>
      <x:c r="F4" s="41"/>
      <x:c r="G4" s="41"/>
      <x:c r="H4" s="41"/>
      <x:c r="I4" s="41"/>
    </x:row>
    <x:row r="5" ht="4.5" customHeight="1">
      <x:c r="A5" s="41"/>
      <x:c r="B5" s="41"/>
      <x:c r="C5" s="41"/>
      <x:c r="D5" s="41"/>
      <x:c r="E5" s="41"/>
      <x:c r="F5" s="41"/>
      <x:c r="G5" s="41"/>
      <x:c r="H5" s="41"/>
      <x:c r="I5" s="41"/>
    </x:row>
    <x:row r="6" ht="40" customHeight="1">
      <x:c r="A6" s="41"/>
      <x:c r="B6" s="55" t="str">
        <x:v>Flow ID</x:v>
      </x:c>
      <x:c r="C6" s="55" t="str">
        <x:v>Data flow</x:v>
      </x:c>
      <x:c r="D6" s="55" t="str">
        <x:v>S
Spoofing</x:v>
      </x:c>
      <x:c r="E6" s="55" t="str">
        <x:v>T
Tampering</x:v>
      </x:c>
      <x:c r="F6" s="55" t="str">
        <x:v>R
Repudiation</x:v>
      </x:c>
      <x:c r="G6" s="55" t="str">
        <x:v>I
Information disclosure</x:v>
      </x:c>
      <x:c r="H6" s="55" t="str">
        <x:v>D
Denial of service</x:v>
      </x:c>
      <x:c r="I6" s="55" t="str">
        <x:v>E
Elevation of privilege</x:v>
      </x:c>
    </x:row>
    <x:row r="7" ht="48" customHeight="1">
      <x:c r="A7" s="41"/>
      <x:c r="B7" s="56" t="str">
        <x:v>1</x:v>
      </x:c>
      <x:c r="C7" s="57" t="str">
        <x:v>Student login</x:v>
      </x:c>
      <x:c r="D7" s="57" t="str">
        <x:v>Known student passwords could let someone impersonate a student.</x:v>
      </x:c>
      <x:c r="E7" s="57" t="str">
        <x:v>Login text could change the SQL query.</x:v>
      </x:c>
      <x:c r="F7" s="57" t="str">
        <x:v>Logins are logged, but the request source is missing.</x:v>
      </x:c>
      <x:c r="G7" s="57" t="str">
        <x:v>Passwords could be intercepted over remote HTTP.</x:v>
      </x:c>
      <x:c r="H7" s="57" t="str">
        <x:v>Too many login attempts could slow the app.</x:v>
      </x:c>
      <x:c r="I7" s="57" t="str">
        <x:v>SQL injection might give access to a stronger account.</x:v>
      </x:c>
    </x:row>
    <x:row r="8" ht="48" customHeight="1">
      <x:c r="A8" s="41"/>
      <x:c r="B8" s="56" t="str">
        <x:v>2</x:v>
      </x:c>
      <x:c r="C8" s="57" t="str">
        <x:v>Student grades or logout</x:v>
      </x:c>
      <x:c r="D8" s="57" t="str">
        <x:v>Fake tokens could be accepted without signature checks.</x:v>
      </x:c>
      <x:c r="E8" s="57" t="str">
        <x:v>Token details could be changed; grade ownership is not checked.</x:v>
      </x:c>
      <x:c r="F8" s="57" t="str">
        <x:v>Grade reads and logout are not logged.</x:v>
      </x:c>
      <x:c r="G8" s="57" t="str">
        <x:v>A student could read someone else's grades.</x:v>
      </x:c>
      <x:c r="H8" s="57" t="str">
        <x:v>Too many grade requests could slow the app.</x:v>
      </x:c>
      <x:c r="I8" s="57" t="str">
        <x:v>Students may access grades beyond their own.</x:v>
      </x:c>
    </x:row>
    <x:row r="9" ht="48" customHeight="1">
      <x:c r="A9" s="41"/>
      <x:c r="B9" s="56" t="str">
        <x:v>3</x:v>
      </x:c>
      <x:c r="C9" s="57" t="str">
        <x:v>Student response</x:v>
      </x:c>
      <x:c r="D9" s="57" t="str">
        <x:v>An attacker controlling HTTP traffic could fake the page.</x:v>
      </x:c>
      <x:c r="E9" s="57" t="str">
        <x:v>Stored comments could run scripts in the page.</x:v>
      </x:c>
      <x:c r="F9" s="57" t="str">
        <x:v>N/A</x:v>
      </x:c>
      <x:c r="G9" s="57" t="str">
        <x:v>Scripts could read tokens; login errors may reveal database details.</x:v>
      </x:c>
      <x:c r="H9" s="57" t="str">
        <x:v>Very long comments could make the page slow.</x:v>
      </x:c>
      <x:c r="I9" s="57" t="str">
        <x:v>Comment scripts might act using the student's login.</x:v>
      </x:c>
    </x:row>
    <x:row r="10" ht="48" customHeight="1">
      <x:c r="A10" s="41"/>
      <x:c r="B10" s="56" t="str">
        <x:v>4</x:v>
      </x:c>
      <x:c r="C10" s="57" t="str">
        <x:v>Teacher login</x:v>
      </x:c>
      <x:c r="D10" s="57" t="str">
        <x:v>Known teacher passwords could let someone impersonate a teacher.</x:v>
      </x:c>
      <x:c r="E10" s="57" t="str">
        <x:v>Login text could change the SQL query.</x:v>
      </x:c>
      <x:c r="F10" s="57" t="str">
        <x:v>Logins are logged, but the request source is missing.</x:v>
      </x:c>
      <x:c r="G10" s="57" t="str">
        <x:v>Passwords could be intercepted over remote HTTP.</x:v>
      </x:c>
      <x:c r="H10" s="57" t="str">
        <x:v>Too many login attempts could slow the app.</x:v>
      </x:c>
      <x:c r="I10" s="57" t="str">
        <x:v>SQL injection might give access to a stronger account.</x:v>
      </x:c>
    </x:row>
    <x:row r="11" ht="48" customHeight="1">
      <x:c r="A11" s="41"/>
      <x:c r="B11" s="56" t="str">
        <x:v>5</x:v>
      </x:c>
      <x:c r="C11" s="57" t="str">
        <x:v>Teacher view, export or logout</x:v>
      </x:c>
      <x:c r="D11" s="57" t="str">
        <x:v>The public session key could allow a fake teacher login.</x:v>
      </x:c>
      <x:c r="E11" s="57" t="str">
        <x:v>Changing the class ID could export another teacher's class.</x:v>
      </x:c>
      <x:c r="F11" s="57" t="str">
        <x:v>Page visits, exports and logout are not logged.</x:v>
      </x:c>
      <x:c r="G11" s="57" t="str">
        <x:v>Teachers may see grades outside their own classes.</x:v>
      </x:c>
      <x:c r="H11" s="57" t="str">
        <x:v>Too many exports could slow the app.</x:v>
      </x:c>
      <x:c r="I11" s="57" t="str">
        <x:v>Teacher access is not limited to their own classes.</x:v>
      </x:c>
    </x:row>
    <x:row r="12" ht="48" customHeight="1">
      <x:c r="A12" s="41"/>
      <x:c r="B12" s="56" t="str">
        <x:v>6</x:v>
      </x:c>
      <x:c r="C12" s="57" t="str">
        <x:v>Teacher saves grades</x:v>
      </x:c>
      <x:c r="D12" s="57" t="str">
        <x:v>The public session key could allow a fake teacher login.</x:v>
      </x:c>
      <x:c r="E12" s="57" t="str">
        <x:v>Missing CSRF and ownership checks could allow unwanted changes.</x:v>
      </x:c>
      <x:c r="F12" s="57" t="str">
        <x:v>Grade changes are logged, but old and new values are missing.</x:v>
      </x:c>
      <x:c r="G12" s="57" t="str">
        <x:v>Grades and comments could be intercepted over remote HTTP.</x:v>
      </x:c>
      <x:c r="H12" s="57" t="str">
        <x:v>Many large submissions could cause errors or slow the app.</x:v>
      </x:c>
      <x:c r="I12" s="57" t="str">
        <x:v>Teachers may change grades in other teachers' classes.</x:v>
      </x:c>
    </x:row>
    <x:row r="13" ht="48" customHeight="1">
      <x:c r="A13" s="41"/>
      <x:c r="B13" s="56" t="str">
        <x:v>7</x:v>
      </x:c>
      <x:c r="C13" s="57" t="str">
        <x:v>Teacher response or CSV</x:v>
      </x:c>
      <x:c r="D13" s="57" t="str">
        <x:v>An attacker controlling HTTP traffic could fake pages or exports.</x:v>
      </x:c>
      <x:c r="E13" s="57" t="str">
        <x:v>Unescaped comments could run scripts on the teacher page.</x:v>
      </x:c>
      <x:c r="F13" s="57" t="str">
        <x:v>Exports are not logged; saved changes lack a full record.</x:v>
      </x:c>
      <x:c r="G13" s="57" t="str">
        <x:v>Exports may expose other classes' grades; HTTP traffic is unencrypted.</x:v>
      </x:c>
      <x:c r="H13" s="57" t="str">
        <x:v>Large CSV exports could use too much memory.</x:v>
      </x:c>
      <x:c r="I13" s="57" t="str">
        <x:v>Comment scripts or spreadsheet formulas might trigger unwanted actions.</x:v>
      </x:c>
    </x:row>
    <x:row r="14" ht="48" customHeight="1">
      <x:c r="A14" s="41"/>
      <x:c r="B14" s="56" t="str">
        <x:v>8</x:v>
      </x:c>
      <x:c r="C14" s="57" t="str">
        <x:v>Admin login</x:v>
      </x:c>
      <x:c r="D14" s="57" t="str">
        <x:v>Known admin passwords could let someone impersonate the admin.</x:v>
      </x:c>
      <x:c r="E14" s="57" t="str">
        <x:v>Login text could change the SQL query.</x:v>
      </x:c>
      <x:c r="F14" s="57" t="str">
        <x:v>Logins are logged, but the request source is missing.</x:v>
      </x:c>
      <x:c r="G14" s="57" t="str">
        <x:v>Passwords could be intercepted over remote HTTP.</x:v>
      </x:c>
      <x:c r="H14" s="57" t="str">
        <x:v>Too many login attempts could slow the app.</x:v>
      </x:c>
      <x:c r="I14" s="57" t="str">
        <x:v>SQL injection might give access to a stronger account.</x:v>
      </x:c>
    </x:row>
    <x:row r="15" ht="48" customHeight="1">
      <x:c r="A15" s="41"/>
      <x:c r="B15" s="56" t="str">
        <x:v>9</x:v>
      </x:c>
      <x:c r="C15" s="57" t="str">
        <x:v>Admin actions or logout</x:v>
      </x:c>
      <x:c r="D15" s="57" t="str">
        <x:v>The public session key could allow a fake admin login.</x:v>
      </x:c>
      <x:c r="E15" s="57" t="str">
        <x:v>Missing CSRF checks and unsafe host input could allow unwanted actions.</x:v>
      </x:c>
      <x:c r="F15" s="57" t="str">
        <x:v>User changes are not logged; ping logs omit who and results.</x:v>
      </x:c>
      <x:c r="G15" s="57" t="str">
        <x:v>New passwords could be intercepted over remote HTTP.</x:v>
      </x:c>
      <x:c r="H15" s="57" t="str">
        <x:v>Many ping requests could occupy workers despite the 10-second timeout.</x:v>
      </x:c>
      <x:c r="I15" s="57" t="str">
        <x:v>Host input could run commands beyond the intended ping.</x:v>
      </x:c>
    </x:row>
    <x:row r="16" ht="48" customHeight="1">
      <x:c r="A16" s="41"/>
      <x:c r="B16" s="56" t="str">
        <x:v>10</x:v>
      </x:c>
      <x:c r="C16" s="57" t="str">
        <x:v>Admin response</x:v>
      </x:c>
      <x:c r="D16" s="57" t="str">
        <x:v>An attacker controlling HTTP traffic could fake the admin page.</x:v>
      </x:c>
      <x:c r="E16" s="57" t="str">
        <x:v>An attacker controlling traffic could change pages or results.</x:v>
      </x:c>
      <x:c r="F16" s="57" t="str">
        <x:v>User changes have no log showing what happened.</x:v>
      </x:c>
      <x:c r="G16" s="57" t="str">
        <x:v>User lists and ping results could be intercepted over HTTP.</x:v>
      </x:c>
      <x:c r="H16" s="57" t="str">
        <x:v>Long lists or ping output could slow the page.</x:v>
      </x:c>
      <x:c r="I16" s="57" t="str">
        <x:v>N/A</x:v>
      </x:c>
    </x:row>
    <x:row r="17" ht="48" customHeight="1">
      <x:c r="A17" s="41"/>
      <x:c r="B17" s="56" t="str">
        <x:v>11</x:v>
      </x:c>
      <x:c r="C17" s="57" t="str">
        <x:v>Database login query</x:v>
      </x:c>
      <x:c r="D17" s="57" t="str">
        <x:v>A fake database could trick the app into connecting.</x:v>
      </x:c>
      <x:c r="E17" s="57" t="str">
        <x:v>Login inputs could alter SQL because they are directly joined.</x:v>
      </x:c>
      <x:c r="F17" s="57" t="str">
        <x:v>All queries use one database account, hiding the actual user.</x:v>
      </x:c>
      <x:c r="G17" s="57" t="str">
        <x:v>Passwords are used and stored as plaintext.</x:v>
      </x:c>
      <x:c r="H17" s="57" t="str">
        <x:v>Too many or unusual login queries could overload the database.</x:v>
      </x:c>
      <x:c r="I17" s="57" t="str">
        <x:v>SQL injection might allow more actions, depending on database permissions.</x:v>
      </x:c>
    </x:row>
    <x:row r="18" ht="48" customHeight="1">
      <x:c r="A18" s="41"/>
      <x:c r="B18" s="56" t="str">
        <x:v>12</x:v>
      </x:c>
      <x:c r="C18" s="57" t="str">
        <x:v>Database login result</x:v>
      </x:c>
      <x:c r="D18" s="57" t="str">
        <x:v>A fake database could return a false user or role.</x:v>
      </x:c>
      <x:c r="E18" s="57" t="str">
        <x:v>A compromised database or connection could change the returned identity.</x:v>
      </x:c>
      <x:c r="F18" s="57" t="str">
        <x:v>N/A</x:v>
      </x:c>
      <x:c r="G18" s="57" t="str">
        <x:v>Database errors may reveal details through the login page.</x:v>
      </x:c>
      <x:c r="H18" s="57" t="str">
        <x:v>A slow or unavailable database could stop login.</x:v>
      </x:c>
      <x:c r="I18" s="57" t="str">
        <x:v>N/A</x:v>
      </x:c>
    </x:row>
    <x:row r="19" ht="48" customHeight="1">
      <x:c r="A19" s="41"/>
      <x:c r="B19" s="56" t="str">
        <x:v>13</x:v>
      </x:c>
      <x:c r="C19" s="57" t="str">
        <x:v>Database reads</x:v>
      </x:c>
      <x:c r="D19" s="57" t="str">
        <x:v>Known database passwords could allow impersonation if the database is reachable.</x:v>
      </x:c>
      <x:c r="E19" s="57" t="str">
        <x:v>N/A</x:v>
      </x:c>
      <x:c r="F19" s="57" t="str">
        <x:v>One shared database account makes the real user hard to identify.</x:v>
      </x:c>
      <x:c r="G19" s="57" t="str">
        <x:v>Queries may return other students' grades or other teachers' classes.</x:v>
      </x:c>
      <x:c r="H19" s="57" t="str">
        <x:v>Reading all records without pages could use too many resources.</x:v>
      </x:c>
      <x:c r="I19" s="57" t="str">
        <x:v>Queries do not limit grades to the user's allowed records.</x:v>
      </x:c>
    </x:row>
    <x:row r="20" ht="48" customHeight="1">
      <x:c r="A20" s="41"/>
      <x:c r="B20" s="56" t="str">
        <x:v>14</x:v>
      </x:c>
      <x:c r="C20" s="57" t="str">
        <x:v>Database read results</x:v>
      </x:c>
      <x:c r="D20" s="57" t="str">
        <x:v>A fake database could provide false results.</x:v>
      </x:c>
      <x:c r="E20" s="57" t="str">
        <x:v>A compromised database or connection could change grades and lists.</x:v>
      </x:c>
      <x:c r="F20" s="57" t="str">
        <x:v>N/A</x:v>
      </x:c>
      <x:c r="G20" s="57" t="str">
        <x:v>Results may include another student's name and grades.</x:v>
      </x:c>
      <x:c r="H20" s="57" t="str">
        <x:v>Too much data or database failure could block the page.</x:v>
      </x:c>
      <x:c r="I20" s="57" t="str">
        <x:v>N/A</x:v>
      </x:c>
    </x:row>
    <x:row r="21" ht="48" customHeight="1">
      <x:c r="A21" s="41"/>
      <x:c r="B21" s="56" t="str">
        <x:v>15</x:v>
      </x:c>
      <x:c r="C21" s="57" t="str">
        <x:v>Database writes</x:v>
      </x:c>
      <x:c r="D21" s="57" t="str">
        <x:v>Stolen database passwords could allow fake writes if connections are possible.</x:v>
      </x:c>
      <x:c r="E21" s="57" t="str">
        <x:v>Grade writes lack ownership checks; new-user roles come straight from forms.</x:v>
      </x:c>
      <x:c r="F21" s="57" t="str">
        <x:v>Grade logs miss before/after values; user changes are not logged.</x:v>
      </x:c>
      <x:c r="G21" s="57" t="str">
        <x:v>New-user passwords are stored as plaintext.</x:v>
      </x:c>
      <x:c r="H21" s="57" t="str">
        <x:v>Many large writes could fill storage or overload the database.</x:v>
      </x:c>
      <x:c r="I21" s="57" t="str">
        <x:v>Teachers may change other classes; admin user changes are allowed.</x:v>
      </x:c>
    </x:row>
    <x:row r="22" ht="48" customHeight="1">
      <x:c r="A22" s="41"/>
      <x:c r="B22" s="56" t="str">
        <x:v>16</x:v>
      </x:c>
      <x:c r="C22" s="57" t="str">
        <x:v>Database write result</x:v>
      </x:c>
      <x:c r="D22" s="57" t="str">
        <x:v>A compromised database could falsely report that a write succeeded.</x:v>
      </x:c>
      <x:c r="E22" s="57" t="str">
        <x:v>A compromised database or connection could change the reported status.</x:v>
      </x:c>
      <x:c r="F22" s="57" t="str">
        <x:v>Writes and logs can disagree; user changes have no audit log.</x:v>
      </x:c>
      <x:c r="G22" s="57" t="str">
        <x:v>Database errors might reveal internal details; this is untested.</x:v>
      </x:c>
      <x:c r="H22" s="57" t="str">
        <x:v>Database errors or delays could prevent confirming a write.</x:v>
      </x:c>
      <x:c r="I22" s="57" t="str">
        <x:v>N/A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1" topLeftCell="E12" activePane="bottomRight" state="frozen"/>
    </x:sheetView>
  </x:sheetViews>
  <x:sheetFormatPr defaultRowHeight="15"/>
  <x:cols>
    <x:col min="1" max="1" width="1.75" hidden="0" customWidth="1"/>
    <x:col min="2" max="2" width="11.880000114440918" hidden="0" customWidth="1"/>
    <x:col min="3" max="3" width="8.130000114440918" hidden="0" customWidth="1"/>
    <x:col min="4" max="4" width="9.380000114440918" hidden="0" customWidth="1"/>
    <x:col min="5" max="5" width="43.75" hidden="0" customWidth="1"/>
    <x:col min="6" max="6" width="10.630000114440918" hidden="0" customWidth="1"/>
    <x:col min="7" max="7" width="10.630000114440918" hidden="0" customWidth="1"/>
    <x:col min="8" max="8" width="10" hidden="0" customWidth="1"/>
    <x:col min="9" max="9" width="70" hidden="0" customWidth="1"/>
    <x:col min="10" max="10" width="55" hidden="0" customWidth="1"/>
  </x:cols>
  <x:sheetData>
    <x:row r="1" ht="20" customHeight="1">
      <x:c r="A1" s="60"/>
      <x:c r="B1" s="60"/>
      <x:c r="C1" s="60"/>
      <x:c r="D1" s="60"/>
      <x:c r="E1" s="60"/>
      <x:c r="F1" s="60"/>
      <x:c r="G1" s="60"/>
      <x:c r="H1" s="60"/>
      <x:c r="I1" s="60"/>
      <x:c r="J1" s="60"/>
    </x:row>
    <x:row r="2" ht="24" customHeight="1">
      <x:c r="A2" s="60"/>
      <x:c r="B2" s="61" t="str">
        <x:v>Risk analysis</x:v>
      </x:c>
      <x:c r="C2" s="61"/>
      <x:c r="D2" s="61"/>
      <x:c r="E2" s="61"/>
      <x:c r="F2" s="61"/>
      <x:c r="G2" s="61"/>
      <x:c r="H2" s="61"/>
      <x:c r="I2" s="61"/>
      <x:c r="J2" s="61"/>
    </x:row>
    <x:row r="3" ht="20" customHeight="1">
      <x:c r="A3" s="60"/>
      <x:c r="B3" s="60" t="str">
        <x:v>Likelihood: 1 = unusual conditions or prior compromise; 2 = extra network/account/browser/volume conditions; 3 = a normal reachable path with few extra conditions.</x:v>
      </x:c>
      <x:c r="C3" s="60"/>
      <x:c r="D3" s="60"/>
      <x:c r="E3" s="60"/>
      <x:c r="F3" s="60"/>
      <x:c r="G3" s="60"/>
      <x:c r="H3" s="60"/>
      <x:c r="I3" s="60"/>
      <x:c r="J3" s="60"/>
    </x:row>
    <x:row r="4" ht="20" customHeight="1">
      <x:c r="A4" s="60"/>
      <x:c r="B4" s="60" t="str">
        <x:v>Impact: 1 = minor disruption or limited traceability loss; 2 = meaningful individual data/service/investigation harm; 3 = account compromise, unauthorized grade changes or broad privacy exposure.</x:v>
      </x:c>
      <x:c r="C4" s="60"/>
      <x:c r="D4" s="60"/>
      <x:c r="E4" s="60"/>
      <x:c r="F4" s="60"/>
      <x:c r="G4" s="60"/>
      <x:c r="H4" s="60"/>
      <x:c r="I4" s="60"/>
      <x:c r="J4" s="60"/>
    </x:row>
    <x:row r="5" ht="20" customHeight="1">
      <x:c r="A5" s="60"/>
      <x:c r="B5" s="60" t="str">
        <x:v>Risk = Likelihood × Impact (1–3 each). These are relative classroom estimates, not measured probabilities. Edit the two rating columns to rescore.</x:v>
      </x:c>
      <x:c r="C5" s="60"/>
      <x:c r="D5" s="60"/>
      <x:c r="E5" s="60"/>
      <x:c r="F5" s="60"/>
      <x:c r="G5" s="60"/>
      <x:c r="H5" s="60"/>
      <x:c r="I5" s="60"/>
      <x:c r="J5" s="60"/>
    </x:row>
    <x:row r="6" ht="20" customHeight="1">
      <x:c r="A6" s="60"/>
      <x:c r="B6" s="60" t="str">
        <x:v>Assumptions: seeded passwords and published signing keys remain unchanged; students should access their own grades and teachers only their assigned classes.</x:v>
      </x:c>
      <x:c r="C6" s="60"/>
      <x:c r="D6" s="60"/>
      <x:c r="E6" s="60"/>
      <x:c r="F6" s="60"/>
      <x:c r="G6" s="60"/>
      <x:c r="H6" s="60"/>
      <x:c r="I6" s="60"/>
      <x:c r="J6" s="60"/>
    </x:row>
    <x:row r="7" ht="20" customHeight="1">
      <x:c r="A7" s="60"/>
      <x:c r="B7" s="60" t="str">
        <x:v>HTTP interception/page spoofing needs a remote untrusted network or traffic control. The current localhost demo does not prove this exposure. Database impersonation needs prior control.</x:v>
      </x:c>
      <x:c r="C7" s="60"/>
      <x:c r="D7" s="60"/>
      <x:c r="E7" s="60"/>
      <x:c r="F7" s="60"/>
      <x:c r="G7" s="60"/>
      <x:c r="H7" s="60"/>
      <x:c r="I7" s="60"/>
      <x:c r="J7" s="60"/>
    </x:row>
    <x:row r="8" ht="20" customHeight="1">
      <x:c r="A8" s="60"/>
      <x:c r="B8" s="60" t="str">
        <x:f>"Coverage: "&amp;COUNTA(B12:B111)&amp;" scored risk rows cover all 88 non-N/A STRIDE cells. 8 N/A cells are excluded; compound threats are split."</x:f>
        <x:v>Coverage: 100 scored risk rows cover all 88 non-N/A STRIDE cells. 8 N/A cells are excluded; compound threats are split.</x:v>
      </x:c>
      <x:c r="C8" s="60"/>
      <x:c r="D8" s="60"/>
      <x:c r="E8" s="60"/>
      <x:c r="F8" s="60"/>
      <x:c r="G8" s="60"/>
      <x:c r="H8" s="60"/>
      <x:c r="I8" s="60"/>
      <x:c r="J8" s="60"/>
    </x:row>
    <x:row r="9" ht="20" customHeight="1">
      <x:c r="A9" s="60"/>
      <x:c r="B9" s="60" t="str">
        <x:v>No exploits or fixes were performed. Code references: https://github.com/Viclant/NoteApp/tree/1c83e422429c4b784411701ffd797b5ab5f397dc</x:v>
      </x:c>
      <x:c r="C9" s="60"/>
      <x:c r="D9" s="60"/>
      <x:c r="E9" s="60"/>
      <x:c r="F9" s="60"/>
      <x:c r="G9" s="60"/>
      <x:c r="H9" s="60"/>
      <x:c r="I9" s="60"/>
      <x:c r="J9" s="60"/>
    </x:row>
    <x:row r="10" ht="6" customHeight="1">
      <x:c r="A10" s="60"/>
      <x:c r="B10" s="60"/>
      <x:c r="C10" s="60"/>
      <x:c r="D10" s="60"/>
      <x:c r="E10" s="60"/>
      <x:c r="F10" s="60"/>
      <x:c r="G10" s="60"/>
      <x:c r="H10" s="60"/>
      <x:c r="I10" s="60"/>
      <x:c r="J10" s="60"/>
    </x:row>
    <x:row r="11" ht="31.5" customHeight="1">
      <x:c r="A11" s="60"/>
      <x:c r="B11" s="71" t="str">
        <x:v>Risk ID</x:v>
      </x:c>
      <x:c r="C11" s="71" t="str">
        <x:v>Flow ID</x:v>
      </x:c>
      <x:c r="D11" s="71" t="str">
        <x:v>STRIDE</x:v>
      </x:c>
      <x:c r="E11" s="71" t="str">
        <x:v>Threat</x:v>
      </x:c>
      <x:c r="F11" s="71" t="str">
        <x:v>Likelihood</x:v>
      </x:c>
      <x:c r="G11" s="71" t="str">
        <x:v>Impact</x:v>
      </x:c>
      <x:c r="H11" s="71" t="str">
        <x:v>Risk
L × I</x:v>
      </x:c>
      <x:c r="I11" s="71" t="str">
        <x:v>Rating rationale</x:v>
      </x:c>
      <x:c r="J11" s="71" t="str">
        <x:v>Source</x:v>
      </x:c>
    </x:row>
    <x:row r="12" ht="51" customHeight="1">
      <x:c r="A12" s="60"/>
      <x:c r="B12" s="66" t="str">
        <x:v>1-S</x:v>
      </x:c>
      <x:c r="C12" s="66" t="str">
        <x:v>1</x:v>
      </x:c>
      <x:c r="D12" s="66" t="str">
        <x:v>S</x:v>
      </x:c>
      <x:c r="E12" s="66" t="str">
        <x:v>Known default passwords could allow a fake student login.</x:v>
      </x:c>
      <x:c r="F12" s="67" t="n">
        <x:v>3</x:v>
      </x:c>
      <x:c r="G12" s="67" t="n">
        <x:v>3</x:v>
      </x:c>
      <x:c r="H12" s="67" t="n">
        <x:f>F12*G12</x:f>
        <x:v>9</x:v>
      </x:c>
      <x:c r="I12" s="66" t="str">
        <x:v>L: Published seed credentials work through normal login if unchanged. I: Another person's account could be compromised.</x:v>
      </x:c>
      <x:c r="J12" s="66" t="str">
        <x:v>STRIDE 1-S; db/init.sql:43-45; web/app.py:145-171</x:v>
      </x:c>
    </x:row>
    <x:row r="13" ht="51" customHeight="1">
      <x:c r="A13" s="60"/>
      <x:c r="B13" s="66" t="str">
        <x:v>1-T</x:v>
      </x:c>
      <x:c r="C13" s="66" t="str">
        <x:v>1</x:v>
      </x:c>
      <x:c r="D13" s="66" t="str">
        <x:v>T</x:v>
      </x:c>
      <x:c r="E13" s="66" t="str">
        <x:v>Login text could change SQL and bypass authentication.</x:v>
      </x:c>
      <x:c r="F13" s="67" t="n">
        <x:v>3</x:v>
      </x:c>
      <x:c r="G13" s="67" t="n">
        <x:v>3</x:v>
      </x:c>
      <x:c r="H13" s="67" t="n">
        <x:f>F13*G13</x:f>
        <x:v>9</x:v>
      </x:c>
      <x:c r="I13" s="66" t="str">
        <x:v>L: The unauthenticated login directly joins input into SQL. I: A returned user's identity and role become a logged-in session.</x:v>
      </x:c>
      <x:c r="J13" s="66" t="str">
        <x:v>STRIDE 1-T; web/app.py:145-171</x:v>
      </x:c>
    </x:row>
    <x:row r="14" ht="51" customHeight="1">
      <x:c r="A14" s="60"/>
      <x:c r="B14" s="66" t="str">
        <x:v>1-R</x:v>
      </x:c>
      <x:c r="C14" s="66" t="str">
        <x:v>1</x:v>
      </x:c>
      <x:c r="D14" s="66" t="str">
        <x:v>R</x:v>
      </x:c>
      <x:c r="E14" s="66" t="str">
        <x:v>Login logs could fail to identify the request source.</x:v>
      </x:c>
      <x:c r="F14" s="67" t="n">
        <x:v>3</x:v>
      </x:c>
      <x:c r="G14" s="67" t="n">
        <x:v>1</x:v>
      </x:c>
      <x:c r="H14" s="67" t="n">
        <x:f>F14*G14</x:f>
        <x:v>3</x:v>
      </x:c>
      <x:c r="I14" s="66" t="str">
        <x:v>L: Every login uses logs without client or request identifiers. I: Investigation is harder, but this gap alone does not grant access.</x:v>
      </x:c>
      <x:c r="J14" s="66" t="str">
        <x:v>STRIDE 1-R; web/app.py:170,174</x:v>
      </x:c>
    </x:row>
    <x:row r="15" ht="51" customHeight="1">
      <x:c r="A15" s="60"/>
      <x:c r="B15" s="66" t="str">
        <x:v>1-I</x:v>
      </x:c>
      <x:c r="C15" s="66" t="str">
        <x:v>1</x:v>
      </x:c>
      <x:c r="D15" s="66" t="str">
        <x:v>I</x:v>
      </x:c>
      <x:c r="E15" s="66" t="str">
        <x:v>Passwords could be intercepted over remote HTTP.</x:v>
      </x:c>
      <x:c r="F15" s="67" t="n">
        <x:v>2</x:v>
      </x:c>
      <x:c r="G15" s="67" t="n">
        <x:v>3</x:v>
      </x:c>
      <x:c r="H15" s="67" t="n">
        <x:f>F15*G15</x:f>
        <x:v>6</x:v>
      </x:c>
      <x:c r="I15" s="66" t="str">
        <x:v>L: Requires an untrusted remote network path or traffic access; not established by the localhost demo. I: A captured password can compromise an account.</x:v>
      </x:c>
      <x:c r="J15" s="66" t="str">
        <x:v>STRIDE 1-I; web/app.py:141-146,392-394; docker-compose.yml:28-29</x:v>
      </x:c>
    </x:row>
    <x:row r="16" ht="51" customHeight="1">
      <x:c r="A16" s="60"/>
      <x:c r="B16" s="66" t="str">
        <x:v>1-D</x:v>
      </x:c>
      <x:c r="C16" s="66" t="str">
        <x:v>1</x:v>
      </x:c>
      <x:c r="D16" s="66" t="str">
        <x:v>D</x:v>
      </x:c>
      <x:c r="E16" s="66" t="str">
        <x:v>Too many login attempts could slow the app.</x:v>
      </x:c>
      <x:c r="F16" s="67" t="n">
        <x:v>2</x:v>
      </x:c>
      <x:c r="G16" s="67" t="n">
        <x:v>2</x:v>
      </x:c>
      <x:c r="H16" s="67" t="n">
        <x:f>F16*G16</x:f>
        <x:v>4</x:v>
      </x:c>
      <x:c r="I16" s="66" t="str">
        <x:v>L: Requires sufficient request volume; no application login rate limit is present. I: Login and other database-backed pages may become unavailable.</x:v>
      </x:c>
      <x:c r="J16" s="66" t="str">
        <x:v>STRIDE 1-D; web/app.py:141-161; web/app.py:48-54</x:v>
      </x:c>
    </x:row>
    <x:row r="17" ht="51" customHeight="1">
      <x:c r="A17" s="60"/>
      <x:c r="B17" s="66" t="str">
        <x:v>1-E</x:v>
      </x:c>
      <x:c r="C17" s="66" t="str">
        <x:v>1</x:v>
      </x:c>
      <x:c r="D17" s="66" t="str">
        <x:v>E</x:v>
      </x:c>
      <x:c r="E17" s="66" t="str">
        <x:v>SQL injection might log someone in with a stronger role.</x:v>
      </x:c>
      <x:c r="F17" s="67" t="n">
        <x:v>3</x:v>
      </x:c>
      <x:c r="G17" s="67" t="n">
        <x:v>3</x:v>
      </x:c>
      <x:c r="H17" s="67" t="n">
        <x:f>F17*G17</x:f>
        <x:v>9</x:v>
      </x:c>
      <x:c r="I17" s="66" t="str">
        <x:v>L: A public login query concatenates untrusted input. I: A selected teacher or admin identity would grant higher application privileges; no attack was tested.</x:v>
      </x:c>
      <x:c r="J17" s="66" t="str">
        <x:v>STRIDE 1-E; web/app.py:147-171; web/app.py:119-124</x:v>
      </x:c>
    </x:row>
    <x:row r="18" ht="51" customHeight="1">
      <x:c r="A18" s="60"/>
      <x:c r="B18" s="66" t="str">
        <x:v>2-S</x:v>
      </x:c>
      <x:c r="C18" s="66" t="str">
        <x:v>2</x:v>
      </x:c>
      <x:c r="D18" s="66" t="str">
        <x:v>S</x:v>
      </x:c>
      <x:c r="E18" s="66" t="str">
        <x:v>Fake unsigned tokens could be accepted as real identities.</x:v>
      </x:c>
      <x:c r="F18" s="67" t="n">
        <x:v>3</x:v>
      </x:c>
      <x:c r="G18" s="67" t="n">
        <x:v>3</x:v>
      </x:c>
      <x:c r="H18" s="67" t="n">
        <x:f>F18*G18</x:f>
        <x:v>9</x:v>
      </x:c>
      <x:c r="I18" s="66" t="str">
        <x:v>L: The normal API path accepts alg:none without a valid credential or signature. I: Identity impersonation can expose grades broadly; this is not a teacher/admin session bypass.</x:v>
      </x:c>
      <x:c r="J18" s="66" t="str">
        <x:v>STRIDE 2-S; web/app.py:76-115,201-222</x:v>
      </x:c>
    </x:row>
    <x:row r="19" ht="51" customHeight="1">
      <x:c r="A19" s="60"/>
      <x:c r="B19" s="66" t="str">
        <x:v>2-Ta</x:v>
      </x:c>
      <x:c r="C19" s="66" t="str">
        <x:v>2</x:v>
      </x:c>
      <x:c r="D19" s="66" t="str">
        <x:v>T</x:v>
      </x:c>
      <x:c r="E19" s="66" t="str">
        <x:v>Changed token identity fields could be trusted.</x:v>
      </x:c>
      <x:c r="F19" s="67" t="n">
        <x:v>3</x:v>
      </x:c>
      <x:c r="G19" s="67" t="n">
        <x:v>3</x:v>
      </x:c>
      <x:c r="H19" s="67" t="n">
        <x:f>F19*G19</x:f>
        <x:v>9</x:v>
      </x:c>
      <x:c r="I19" s="66" t="str">
        <x:v>L: alg:none directly returns caller-controlled identity fields. I: The API authentication boundary can be bypassed, enabling broad grade disclosure.</x:v>
      </x:c>
      <x:c r="J19" s="66" t="str">
        <x:v>STRIDE 2-T; web/app.py:87-100,105-115,201-222</x:v>
      </x:c>
    </x:row>
    <x:row r="20" ht="51" customHeight="1">
      <x:c r="A20" s="60"/>
      <x:c r="B20" s="66" t="str">
        <x:v>2-Tb</x:v>
      </x:c>
      <x:c r="C20" s="66" t="str">
        <x:v>2</x:v>
      </x:c>
      <x:c r="D20" s="66" t="str">
        <x:v>T</x:v>
      </x:c>
      <x:c r="E20" s="66" t="str">
        <x:v>Changing a grade ID could select someone else's record.</x:v>
      </x:c>
      <x:c r="F20" s="67" t="n">
        <x:v>3</x:v>
      </x:c>
      <x:c r="G20" s="67" t="n">
        <x:v>3</x:v>
      </x:c>
      <x:c r="H20" s="67" t="n">
        <x:f>F20*G20</x:f>
        <x:v>9</x:v>
      </x:c>
      <x:c r="I20" s="66" t="str">
        <x:v>L: An ordinary authenticated student can choose another integer ID. I: Repeated requests can expose student identities and grades broadly.</x:v>
      </x:c>
      <x:c r="J20" s="66" t="str">
        <x:v>STRIDE 2-T; web/app.py:201-222</x:v>
      </x:c>
    </x:row>
    <x:row r="21" ht="51" customHeight="1">
      <x:c r="A21" s="60"/>
      <x:c r="B21" s="66" t="str">
        <x:v>2-R</x:v>
      </x:c>
      <x:c r="C21" s="66" t="str">
        <x:v>2</x:v>
      </x:c>
      <x:c r="D21" s="66" t="str">
        <x:v>R</x:v>
      </x:c>
      <x:c r="E21" s="66" t="str">
        <x:v>Grade reads and logout could leave no audit trail.</x:v>
      </x:c>
      <x:c r="F21" s="67" t="n">
        <x:v>2</x:v>
      </x:c>
      <x:c r="G21" s="67" t="n">
        <x:v>1</x:v>
      </x:c>
      <x:c r="H21" s="67" t="n">
        <x:f>F21*G21</x:f>
        <x:v>2</x:v>
      </x:c>
      <x:c r="I21" s="66" t="str">
        <x:v>L: Requires a user reading grades or logging out; neither action is audited. I: This reduces traceability without independently changing data.</x:v>
      </x:c>
      <x:c r="J21" s="66" t="str">
        <x:v>STRIDE 2-R; web/app.py:178-222</x:v>
      </x:c>
    </x:row>
    <x:row r="22" ht="51" customHeight="1">
      <x:c r="A22" s="60"/>
      <x:c r="B22" s="66" t="str">
        <x:v>2-I</x:v>
      </x:c>
      <x:c r="C22" s="66" t="str">
        <x:v>2</x:v>
      </x:c>
      <x:c r="D22" s="66" t="str">
        <x:v>I</x:v>
      </x:c>
      <x:c r="E22" s="66" t="str">
        <x:v>A student could read other students' grades.</x:v>
      </x:c>
      <x:c r="F22" s="67" t="n">
        <x:v>3</x:v>
      </x:c>
      <x:c r="G22" s="67" t="n">
        <x:v>3</x:v>
      </x:c>
      <x:c r="H22" s="67" t="n">
        <x:f>F22*G22</x:f>
        <x:v>9</x:v>
      </x:c>
      <x:c r="I22" s="66" t="str">
        <x:v>L: API ownership is unchecked on the normal authenticated request path. I: Enumerating IDs can disclose many students' names, grades and comments.</x:v>
      </x:c>
      <x:c r="J22" s="66" t="str">
        <x:v>STRIDE 2-I; web/app.py:201-222</x:v>
      </x:c>
    </x:row>
    <x:row r="23" ht="51" customHeight="1">
      <x:c r="A23" s="60"/>
      <x:c r="B23" s="66" t="str">
        <x:v>2-D</x:v>
      </x:c>
      <x:c r="C23" s="66" t="str">
        <x:v>2</x:v>
      </x:c>
      <x:c r="D23" s="66" t="str">
        <x:v>D</x:v>
      </x:c>
      <x:c r="E23" s="66" t="str">
        <x:v>Too many grade requests could slow the app.</x:v>
      </x:c>
      <x:c r="F23" s="67" t="n">
        <x:v>2</x:v>
      </x:c>
      <x:c r="G23" s="67" t="n">
        <x:v>2</x:v>
      </x:c>
      <x:c r="H23" s="67" t="n">
        <x:f>F23*G23</x:f>
        <x:v>4</x:v>
      </x:c>
      <x:c r="I23" s="66" t="str">
        <x:v>L: Requires a high request volume through the API. I: Repeated database connections can impair service availability.</x:v>
      </x:c>
      <x:c r="J23" s="66" t="str">
        <x:v>STRIDE 2-D; web/app.py:201-218; web/app.py:48-54</x:v>
      </x:c>
    </x:row>
    <x:row r="24" ht="51" customHeight="1">
      <x:c r="A24" s="60"/>
      <x:c r="B24" s="66" t="str">
        <x:v>2-E</x:v>
      </x:c>
      <x:c r="C24" s="66" t="str">
        <x:v>2</x:v>
      </x:c>
      <x:c r="D24" s="66" t="str">
        <x:v>E</x:v>
      </x:c>
      <x:c r="E24" s="66" t="str">
        <x:v>Students could read grades beyond their allowed records.</x:v>
      </x:c>
      <x:c r="F24" s="67" t="n">
        <x:v>3</x:v>
      </x:c>
      <x:c r="G24" s="67" t="n">
        <x:v>3</x:v>
      </x:c>
      <x:c r="H24" s="67" t="n">
        <x:f>F24*G24</x:f>
        <x:v>9</x:v>
      </x:c>
      <x:c r="I24" s="66" t="str">
        <x:v>L: Ordinary authenticated callers are not restricted to owned notes. I: Potential broad privacy exposure; this read-only API does not grant admin write access.</x:v>
      </x:c>
      <x:c r="J24" s="66" t="str">
        <x:v>STRIDE 2-E; web/app.py:201-222</x:v>
      </x:c>
    </x:row>
    <x:row r="25" ht="51" customHeight="1">
      <x:c r="A25" s="60"/>
      <x:c r="B25" s="66" t="str">
        <x:v>3-S</x:v>
      </x:c>
      <x:c r="C25" s="66" t="str">
        <x:v>3</x:v>
      </x:c>
      <x:c r="D25" s="66" t="str">
        <x:v>S</x:v>
      </x:c>
      <x:c r="E25" s="66" t="str">
        <x:v>An attacker controlling HTTP traffic could fake the login page.</x:v>
      </x:c>
      <x:c r="F25" s="67" t="n">
        <x:v>2</x:v>
      </x:c>
      <x:c r="G25" s="67" t="n">
        <x:v>3</x:v>
      </x:c>
      <x:c r="H25" s="67" t="n">
        <x:f>F25*G25</x:f>
        <x:v>6</x:v>
      </x:c>
      <x:c r="I25" s="66" t="str">
        <x:v>L: Requires control of an untrusted remote HTTP path, not merely localhost access. I: A forged login page could capture credentials and compromise an account.</x:v>
      </x:c>
      <x:c r="J25" s="66" t="str">
        <x:v>STRIDE 3-S; web/app.py:141-175,392-394; web/templates/login.html:6-13</x:v>
      </x:c>
    </x:row>
    <x:row r="26" ht="51" customHeight="1">
      <x:c r="A26" s="60"/>
      <x:c r="B26" s="66" t="str">
        <x:v>3-T</x:v>
      </x:c>
      <x:c r="C26" s="66" t="str">
        <x:v>3</x:v>
      </x:c>
      <x:c r="D26" s="66" t="str">
        <x:v>T</x:v>
      </x:c>
      <x:c r="E26" s="66" t="str">
        <x:v>Stored comments could run scripts in a student's page.</x:v>
      </x:c>
      <x:c r="F26" s="67" t="n">
        <x:v>2</x:v>
      </x:c>
      <x:c r="G26" s="67" t="n">
        <x:v>3</x:v>
      </x:c>
      <x:c r="H26" s="67" t="n">
        <x:f>F26*G26</x:f>
        <x:v>6</x:v>
      </x:c>
      <x:c r="I26" s="66" t="str">
        <x:v>L: Requires a teacher-controlled comment and a victim viewing it. I: Same-origin script could steal the embedded token or act as the student.</x:v>
      </x:c>
      <x:c r="J26" s="66" t="str">
        <x:v>STRIDE 3-T; web/app.py:247-269; web/templates/dashboard.html:14-15,34-41</x:v>
      </x:c>
    </x:row>
    <x:row r="27" ht="51" customHeight="1">
      <x:c r="A27" s="60"/>
      <x:c r="B27" s="66" t="str">
        <x:v>3-Ia</x:v>
      </x:c>
      <x:c r="C27" s="66" t="str">
        <x:v>3</x:v>
      </x:c>
      <x:c r="D27" s="66" t="str">
        <x:v>I</x:v>
      </x:c>
      <x:c r="E27" s="66" t="str">
        <x:v>Comment scripts could read the student's token.</x:v>
      </x:c>
      <x:c r="F27" s="67" t="n">
        <x:v>2</x:v>
      </x:c>
      <x:c r="G27" s="67" t="n">
        <x:v>3</x:v>
      </x:c>
      <x:c r="H27" s="67" t="n">
        <x:f>F27*G27</x:f>
        <x:v>6</x:v>
      </x:c>
      <x:c r="I27" s="66" t="str">
        <x:v>L: Requires malicious stored content plus victim page viewing. I: A readable token could allow account/API identity impersonation.</x:v>
      </x:c>
      <x:c r="J27" s="66" t="str">
        <x:v>STRIDE 3-I; web/templates/dashboard.html:14-15,34-41; web/app.py:198</x:v>
      </x:c>
    </x:row>
    <x:row r="28" ht="51" customHeight="1">
      <x:c r="A28" s="60"/>
      <x:c r="B28" s="66" t="str">
        <x:v>3-Ib</x:v>
      </x:c>
      <x:c r="C28" s="66" t="str">
        <x:v>3</x:v>
      </x:c>
      <x:c r="D28" s="66" t="str">
        <x:v>I</x:v>
      </x:c>
      <x:c r="E28" s="66" t="str">
        <x:v>Login errors could reveal database details.</x:v>
      </x:c>
      <x:c r="F28" s="67" t="n">
        <x:v>3</x:v>
      </x:c>
      <x:c r="G28" s="67" t="n">
        <x:v>1</x:v>
      </x:c>
      <x:c r="H28" s="67" t="n">
        <x:f>F28*G28</x:f>
        <x:v>3</x:v>
      </x:c>
      <x:c r="I28" s="66" t="str">
        <x:v>L: Malformed input reaches a query whose raw errors are shown on the login page. I: Error text exposes implementation details; secret disclosure is not assumed.</x:v>
      </x:c>
      <x:c r="J28" s="66" t="str">
        <x:v>STRIDE 3-I; web/app.py:147-159,175; web/templates/login.html:5</x:v>
      </x:c>
    </x:row>
    <x:row r="29" ht="51" customHeight="1">
      <x:c r="A29" s="60"/>
      <x:c r="B29" s="66" t="str">
        <x:v>3-D</x:v>
      </x:c>
      <x:c r="C29" s="66" t="str">
        <x:v>3</x:v>
      </x:c>
      <x:c r="D29" s="66" t="str">
        <x:v>D</x:v>
      </x:c>
      <x:c r="E29" s="66" t="str">
        <x:v>Very long comments could slow the student's page.</x:v>
      </x:c>
      <x:c r="F29" s="67" t="n">
        <x:v>2</x:v>
      </x:c>
      <x:c r="G29" s="67" t="n">
        <x:v>1</x:v>
      </x:c>
      <x:c r="H29" s="67" t="n">
        <x:f>F29*G29</x:f>
        <x:v>2</x:v>
      </x:c>
      <x:c r="I29" s="66" t="str">
        <x:v>L: Requires a writer to store oversized comments and a student to load them. I: Primarily affects the page being viewed; wider browser or server failure is untested.</x:v>
      </x:c>
      <x:c r="J29" s="66" t="str">
        <x:v>STRIDE 3-D; db/init.sql:26-32; web/app.py:247-269; web/templates/dashboard.html:9-15</x:v>
      </x:c>
    </x:row>
    <x:row r="30" ht="51" customHeight="1">
      <x:c r="A30" s="60"/>
      <x:c r="B30" s="66" t="str">
        <x:v>3-E</x:v>
      </x:c>
      <x:c r="C30" s="66" t="str">
        <x:v>3</x:v>
      </x:c>
      <x:c r="D30" s="66" t="str">
        <x:v>E</x:v>
      </x:c>
      <x:c r="E30" s="66" t="str">
        <x:v>Comment scripts might act through the student's login.</x:v>
      </x:c>
      <x:c r="F30" s="67" t="n">
        <x:v>2</x:v>
      </x:c>
      <x:c r="G30" s="67" t="n">
        <x:v>3</x:v>
      </x:c>
      <x:c r="H30" s="67" t="n">
        <x:f>F30*G30</x:f>
        <x:v>6</x:v>
      </x:c>
      <x:c r="I30" s="66" t="str">
        <x:v>L: Requires a stored script and a victim viewing the comment. I: Same-origin actions or token theft could compromise the student's identity; no role escalation is assumed.</x:v>
      </x:c>
      <x:c r="J30" s="66" t="str">
        <x:v>STRIDE 3-E; web/templates/dashboard.html:14-15,34-41</x:v>
      </x:c>
    </x:row>
    <x:row r="31" ht="51" customHeight="1">
      <x:c r="A31" s="60"/>
      <x:c r="B31" s="66" t="str">
        <x:v>4-S</x:v>
      </x:c>
      <x:c r="C31" s="66" t="str">
        <x:v>4</x:v>
      </x:c>
      <x:c r="D31" s="66" t="str">
        <x:v>S</x:v>
      </x:c>
      <x:c r="E31" s="66" t="str">
        <x:v>Known default passwords could allow a fake teacher login.</x:v>
      </x:c>
      <x:c r="F31" s="67" t="n">
        <x:v>3</x:v>
      </x:c>
      <x:c r="G31" s="67" t="n">
        <x:v>3</x:v>
      </x:c>
      <x:c r="H31" s="67" t="n">
        <x:f>F31*G31</x:f>
        <x:v>9</x:v>
      </x:c>
      <x:c r="I31" s="66" t="str">
        <x:v>L: Published seed credentials work through normal login if unchanged. I: Another person's account could be compromised.</x:v>
      </x:c>
      <x:c r="J31" s="66" t="str">
        <x:v>STRIDE 4-S; db/init.sql:37-41; web/app.py:145-171</x:v>
      </x:c>
    </x:row>
    <x:row r="32" ht="51" customHeight="1">
      <x:c r="A32" s="60"/>
      <x:c r="B32" s="66" t="str">
        <x:v>4-T</x:v>
      </x:c>
      <x:c r="C32" s="66" t="str">
        <x:v>4</x:v>
      </x:c>
      <x:c r="D32" s="66" t="str">
        <x:v>T</x:v>
      </x:c>
      <x:c r="E32" s="66" t="str">
        <x:v>Login text could change SQL and bypass authentication.</x:v>
      </x:c>
      <x:c r="F32" s="67" t="n">
        <x:v>3</x:v>
      </x:c>
      <x:c r="G32" s="67" t="n">
        <x:v>3</x:v>
      </x:c>
      <x:c r="H32" s="67" t="n">
        <x:f>F32*G32</x:f>
        <x:v>9</x:v>
      </x:c>
      <x:c r="I32" s="66" t="str">
        <x:v>L: The unauthenticated login directly joins input into SQL. I: A returned user's identity and role become a logged-in session.</x:v>
      </x:c>
      <x:c r="J32" s="66" t="str">
        <x:v>STRIDE 4-T; web/app.py:145-171</x:v>
      </x:c>
    </x:row>
    <x:row r="33" ht="51" customHeight="1">
      <x:c r="A33" s="60"/>
      <x:c r="B33" s="66" t="str">
        <x:v>4-R</x:v>
      </x:c>
      <x:c r="C33" s="66" t="str">
        <x:v>4</x:v>
      </x:c>
      <x:c r="D33" s="66" t="str">
        <x:v>R</x:v>
      </x:c>
      <x:c r="E33" s="66" t="str">
        <x:v>Login logs could fail to identify the request source.</x:v>
      </x:c>
      <x:c r="F33" s="67" t="n">
        <x:v>3</x:v>
      </x:c>
      <x:c r="G33" s="67" t="n">
        <x:v>1</x:v>
      </x:c>
      <x:c r="H33" s="67" t="n">
        <x:f>F33*G33</x:f>
        <x:v>3</x:v>
      </x:c>
      <x:c r="I33" s="66" t="str">
        <x:v>L: Every login uses logs without client or request identifiers. I: Investigation is harder, but this gap alone does not grant access.</x:v>
      </x:c>
      <x:c r="J33" s="66" t="str">
        <x:v>STRIDE 4-R; web/app.py:170,174</x:v>
      </x:c>
    </x:row>
    <x:row r="34" ht="51" customHeight="1">
      <x:c r="A34" s="60"/>
      <x:c r="B34" s="66" t="str">
        <x:v>4-I</x:v>
      </x:c>
      <x:c r="C34" s="66" t="str">
        <x:v>4</x:v>
      </x:c>
      <x:c r="D34" s="66" t="str">
        <x:v>I</x:v>
      </x:c>
      <x:c r="E34" s="66" t="str">
        <x:v>Passwords could be intercepted over remote HTTP.</x:v>
      </x:c>
      <x:c r="F34" s="67" t="n">
        <x:v>2</x:v>
      </x:c>
      <x:c r="G34" s="67" t="n">
        <x:v>3</x:v>
      </x:c>
      <x:c r="H34" s="67" t="n">
        <x:f>F34*G34</x:f>
        <x:v>6</x:v>
      </x:c>
      <x:c r="I34" s="66" t="str">
        <x:v>L: Requires an untrusted remote network path or traffic access; not established by the localhost demo. I: A captured password can compromise an account.</x:v>
      </x:c>
      <x:c r="J34" s="66" t="str">
        <x:v>STRIDE 4-I; web/app.py:141-146,392-394; docker-compose.yml:28-29</x:v>
      </x:c>
    </x:row>
    <x:row r="35" ht="51" customHeight="1">
      <x:c r="A35" s="60"/>
      <x:c r="B35" s="66" t="str">
        <x:v>4-D</x:v>
      </x:c>
      <x:c r="C35" s="66" t="str">
        <x:v>4</x:v>
      </x:c>
      <x:c r="D35" s="66" t="str">
        <x:v>D</x:v>
      </x:c>
      <x:c r="E35" s="66" t="str">
        <x:v>Too many login attempts could slow the app.</x:v>
      </x:c>
      <x:c r="F35" s="67" t="n">
        <x:v>2</x:v>
      </x:c>
      <x:c r="G35" s="67" t="n">
        <x:v>2</x:v>
      </x:c>
      <x:c r="H35" s="67" t="n">
        <x:f>F35*G35</x:f>
        <x:v>4</x:v>
      </x:c>
      <x:c r="I35" s="66" t="str">
        <x:v>L: Requires sufficient request volume; no application login rate limit is present. I: Login and other database-backed pages may become unavailable.</x:v>
      </x:c>
      <x:c r="J35" s="66" t="str">
        <x:v>STRIDE 4-D; web/app.py:141-161; web/app.py:48-54</x:v>
      </x:c>
    </x:row>
    <x:row r="36" ht="51" customHeight="1">
      <x:c r="A36" s="60"/>
      <x:c r="B36" s="66" t="str">
        <x:v>4-E</x:v>
      </x:c>
      <x:c r="C36" s="66" t="str">
        <x:v>4</x:v>
      </x:c>
      <x:c r="D36" s="66" t="str">
        <x:v>E</x:v>
      </x:c>
      <x:c r="E36" s="66" t="str">
        <x:v>SQL injection might log someone in with a stronger role.</x:v>
      </x:c>
      <x:c r="F36" s="67" t="n">
        <x:v>3</x:v>
      </x:c>
      <x:c r="G36" s="67" t="n">
        <x:v>3</x:v>
      </x:c>
      <x:c r="H36" s="67" t="n">
        <x:f>F36*G36</x:f>
        <x:v>9</x:v>
      </x:c>
      <x:c r="I36" s="66" t="str">
        <x:v>L: A public login query concatenates untrusted input. I: A selected teacher or admin identity would grant higher application privileges; no attack was tested.</x:v>
      </x:c>
      <x:c r="J36" s="66" t="str">
        <x:v>STRIDE 4-E; web/app.py:147-171; web/app.py:119-124</x:v>
      </x:c>
    </x:row>
    <x:row r="37" ht="51" customHeight="1">
      <x:c r="A37" s="60"/>
      <x:c r="B37" s="66" t="str">
        <x:v>5-S</x:v>
      </x:c>
      <x:c r="C37" s="66" t="str">
        <x:v>5</x:v>
      </x:c>
      <x:c r="D37" s="66" t="str">
        <x:v>S</x:v>
      </x:c>
      <x:c r="E37" s="66" t="str">
        <x:v>The public session key could allow a fake teacher session.</x:v>
      </x:c>
      <x:c r="F37" s="67" t="n">
        <x:v>3</x:v>
      </x:c>
      <x:c r="G37" s="67" t="n">
        <x:v>3</x:v>
      </x:c>
      <x:c r="H37" s="67" t="n">
        <x:f>F37*G37</x:f>
        <x:v>9</x:v>
      </x:c>
      <x:c r="I37" s="66" t="str">
        <x:v>L: The repository publishes the key and session-based identity checks; the key must remain unchanged. I: A forged teacher session could expose or change grades.</x:v>
      </x:c>
      <x:c r="J37" s="66" t="str">
        <x:v>STRIDE 5-S; web/app.py:29-33,119-124; docker-compose.yml:27</x:v>
      </x:c>
    </x:row>
    <x:row r="38" ht="51" customHeight="1">
      <x:c r="A38" s="60"/>
      <x:c r="B38" s="66" t="str">
        <x:v>5-T</x:v>
      </x:c>
      <x:c r="C38" s="66" t="str">
        <x:v>5</x:v>
      </x:c>
      <x:c r="D38" s="66" t="str">
        <x:v>T</x:v>
      </x:c>
      <x:c r="E38" s="66" t="str">
        <x:v>Changing class ID could export another teacher's grades.</x:v>
      </x:c>
      <x:c r="F38" s="67" t="n">
        <x:v>3</x:v>
      </x:c>
      <x:c r="G38" s="67" t="n">
        <x:v>3</x:v>
      </x:c>
      <x:c r="H38" s="67" t="n">
        <x:f>F38*G38</x:f>
        <x:v>9</x:v>
      </x:c>
      <x:c r="I38" s="66" t="str">
        <x:v>L: An ordinary teacher can supply any class ID without an ownership check. I: Export can disclose a whole class's student grades and comments.</x:v>
      </x:c>
      <x:c r="J38" s="66" t="str">
        <x:v>STRIDE 5-T; web/app.py:275-306</x:v>
      </x:c>
    </x:row>
    <x:row r="39" ht="51" customHeight="1">
      <x:c r="A39" s="60"/>
      <x:c r="B39" s="66" t="str">
        <x:v>5-R</x:v>
      </x:c>
      <x:c r="C39" s="66" t="str">
        <x:v>5</x:v>
      </x:c>
      <x:c r="D39" s="66" t="str">
        <x:v>R</x:v>
      </x:c>
      <x:c r="E39" s="66" t="str">
        <x:v>Teacher views, exports and logout could leave no audit trail.</x:v>
      </x:c>
      <x:c r="F39" s="67" t="n">
        <x:v>2</x:v>
      </x:c>
      <x:c r="G39" s="67" t="n">
        <x:v>1</x:v>
      </x:c>
      <x:c r="H39" s="67" t="n">
        <x:f>F39*G39</x:f>
        <x:v>2</x:v>
      </x:c>
      <x:c r="I39" s="66" t="str">
        <x:v>L: Requires a teacher using these normal functions, which have no application audit. I: Missing access evidence makes later investigation harder.</x:v>
      </x:c>
      <x:c r="J39" s="66" t="str">
        <x:v>STRIDE 5-R; web/app.py:178-181,225-244,275-306</x:v>
      </x:c>
    </x:row>
    <x:row r="40" ht="51" customHeight="1">
      <x:c r="A40" s="60"/>
      <x:c r="B40" s="66" t="str">
        <x:v>5-I</x:v>
      </x:c>
      <x:c r="C40" s="66" t="str">
        <x:v>5</x:v>
      </x:c>
      <x:c r="D40" s="66" t="str">
        <x:v>I</x:v>
      </x:c>
      <x:c r="E40" s="66" t="str">
        <x:v>Teachers could see grades outside their own classes.</x:v>
      </x:c>
      <x:c r="F40" s="67" t="n">
        <x:v>3</x:v>
      </x:c>
      <x:c r="G40" s="67" t="n">
        <x:v>3</x:v>
      </x:c>
      <x:c r="H40" s="67" t="n">
        <x:f>F40*G40</x:f>
        <x:v>9</x:v>
      </x:c>
      <x:c r="I40" s="66" t="str">
        <x:v>L: The normal teacher page and export queries do not filter by teacher_id. I: All-class grades and student identities can be exposed.</x:v>
      </x:c>
      <x:c r="J40" s="66" t="str">
        <x:v>STRIDE 5-I; web/app.py:225-244,275-306</x:v>
      </x:c>
    </x:row>
    <x:row r="41" ht="51" customHeight="1">
      <x:c r="A41" s="60"/>
      <x:c r="B41" s="66" t="str">
        <x:v>5-D</x:v>
      </x:c>
      <x:c r="C41" s="66" t="str">
        <x:v>5</x:v>
      </x:c>
      <x:c r="D41" s="66" t="str">
        <x:v>D</x:v>
      </x:c>
      <x:c r="E41" s="66" t="str">
        <x:v>Too many exports could slow the app.</x:v>
      </x:c>
      <x:c r="F41" s="67" t="n">
        <x:v>2</x:v>
      </x:c>
      <x:c r="G41" s="67" t="n">
        <x:v>2</x:v>
      </x:c>
      <x:c r="H41" s="67" t="n">
        <x:f>F41*G41</x:f>
        <x:v>4</x:v>
      </x:c>
      <x:c r="I41" s="66" t="str">
        <x:v>L: Requires repeated exports or a sufficiently large dataset. I: Database and in-memory processing could reduce availability for other users.</x:v>
      </x:c>
      <x:c r="J41" s="66" t="str">
        <x:v>STRIDE 5-D; web/app.py:275-306</x:v>
      </x:c>
    </x:row>
    <x:row r="42" ht="51" customHeight="1">
      <x:c r="A42" s="60"/>
      <x:c r="B42" s="66" t="str">
        <x:v>5-E</x:v>
      </x:c>
      <x:c r="C42" s="66" t="str">
        <x:v>5</x:v>
      </x:c>
      <x:c r="D42" s="66" t="str">
        <x:v>E</x:v>
      </x:c>
      <x:c r="E42" s="66" t="str">
        <x:v>Teacher access could extend to every class.</x:v>
      </x:c>
      <x:c r="F42" s="67" t="n">
        <x:v>3</x:v>
      </x:c>
      <x:c r="G42" s="67" t="n">
        <x:v>3</x:v>
      </x:c>
      <x:c r="H42" s="67" t="n">
        <x:f>F42*G42</x:f>
        <x:v>9</x:v>
      </x:c>
      <x:c r="I42" s="66" t="str">
        <x:v>L: Normal teacher-role access has no class ownership restriction. I: Broad grade exposure exceeds the assumed assigned-course permissions.</x:v>
      </x:c>
      <x:c r="J42" s="66" t="str">
        <x:v>STRIDE 5-E; web/app.py:225-244,275-306</x:v>
      </x:c>
    </x:row>
    <x:row r="43" ht="51" customHeight="1">
      <x:c r="A43" s="60"/>
      <x:c r="B43" s="66" t="str">
        <x:v>6-S</x:v>
      </x:c>
      <x:c r="C43" s="66" t="str">
        <x:v>6</x:v>
      </x:c>
      <x:c r="D43" s="66" t="str">
        <x:v>S</x:v>
      </x:c>
      <x:c r="E43" s="66" t="str">
        <x:v>The public session key could allow a fake teacher session.</x:v>
      </x:c>
      <x:c r="F43" s="67" t="n">
        <x:v>3</x:v>
      </x:c>
      <x:c r="G43" s="67" t="n">
        <x:v>3</x:v>
      </x:c>
      <x:c r="H43" s="67" t="n">
        <x:f>F43*G43</x:f>
        <x:v>9</x:v>
      </x:c>
      <x:c r="I43" s="66" t="str">
        <x:v>L: Uses the published unchanged signing key and ordinary session format. I: Teacher identity compromise can permit unauthorized grade changes.</x:v>
      </x:c>
      <x:c r="J43" s="66" t="str">
        <x:v>STRIDE 6-S; web/app.py:29-33,119-124,247-251; docker-compose.yml:27</x:v>
      </x:c>
    </x:row>
    <x:row r="44" ht="51" customHeight="1">
      <x:c r="A44" s="60"/>
      <x:c r="B44" s="66" t="str">
        <x:v>6-Ta</x:v>
      </x:c>
      <x:c r="C44" s="66" t="str">
        <x:v>6</x:v>
      </x:c>
      <x:c r="D44" s="66" t="str">
        <x:v>T</x:v>
      </x:c>
      <x:c r="E44" s="66" t="str">
        <x:v>A cross-site request might make a teacher change grades.</x:v>
      </x:c>
      <x:c r="F44" s="67" t="n">
        <x:v>2</x:v>
      </x:c>
      <x:c r="G44" s="67" t="n">
        <x:v>3</x:v>
      </x:c>
      <x:c r="H44" s="67" t="n">
        <x:f>F44*G44</x:f>
        <x:v>6</x:v>
      </x:c>
      <x:c r="I44" s="66" t="str">
        <x:v>L: Requires an active teacher session and browser conditions allowing a cross-site submission; cookie-policy effects were not tested. I: An accepted request could make an unauthorized grade change.</x:v>
      </x:c>
      <x:c r="J44" s="66" t="str">
        <x:v>STRIDE 6-T; web/app.py:247-269; web/templates/teacher.html:16-33</x:v>
      </x:c>
    </x:row>
    <x:row r="45" ht="51" customHeight="1">
      <x:c r="A45" s="60"/>
      <x:c r="B45" s="66" t="str">
        <x:v>6-Tb</x:v>
      </x:c>
      <x:c r="C45" s="66" t="str">
        <x:v>6</x:v>
      </x:c>
      <x:c r="D45" s="66" t="str">
        <x:v>T</x:v>
      </x:c>
      <x:c r="E45" s="66" t="str">
        <x:v>A teacher could change another teacher's grades.</x:v>
      </x:c>
      <x:c r="F45" s="67" t="n">
        <x:v>3</x:v>
      </x:c>
      <x:c r="G45" s="67" t="n">
        <x:v>3</x:v>
      </x:c>
      <x:c r="H45" s="67" t="n">
        <x:f>F45*G45</x:f>
        <x:v>9</x:v>
      </x:c>
      <x:c r="I45" s="66" t="str">
        <x:v>L: An ordinary teacher can choose any note or class ID on the normal write path. I: Unauthorized grade changes directly damage record integrity.</x:v>
      </x:c>
      <x:c r="J45" s="66" t="str">
        <x:v>STRIDE 6-T; web/app.py:247-269</x:v>
      </x:c>
    </x:row>
    <x:row r="46" ht="51" customHeight="1">
      <x:c r="A46" s="60"/>
      <x:c r="B46" s="66" t="str">
        <x:v>6-R</x:v>
      </x:c>
      <x:c r="C46" s="66" t="str">
        <x:v>6</x:v>
      </x:c>
      <x:c r="D46" s="66" t="str">
        <x:v>R</x:v>
      </x:c>
      <x:c r="E46" s="66" t="str">
        <x:v>Grade logs could fail to show what actually changed.</x:v>
      </x:c>
      <x:c r="F46" s="67" t="n">
        <x:v>2</x:v>
      </x:c>
      <x:c r="G46" s="67" t="n">
        <x:v>2</x:v>
      </x:c>
      <x:c r="H46" s="67" t="n">
        <x:f>F46*G46</x:f>
        <x:v>4</x:v>
      </x:c>
      <x:c r="I46" s="66" t="str">
        <x:v>L: Requires a grade change that later needs investigation; logs omit old/new values. I: Meaningful grade disputes cannot be reconstructed reliably.</x:v>
      </x:c>
      <x:c r="J46" s="66" t="str">
        <x:v>STRIDE 6-R; web/app.py:259-271</x:v>
      </x:c>
    </x:row>
    <x:row r="47" ht="51" customHeight="1">
      <x:c r="A47" s="60"/>
      <x:c r="B47" s="66" t="str">
        <x:v>6-I</x:v>
      </x:c>
      <x:c r="C47" s="66" t="str">
        <x:v>6</x:v>
      </x:c>
      <x:c r="D47" s="66" t="str">
        <x:v>I</x:v>
      </x:c>
      <x:c r="E47" s="66" t="str">
        <x:v>Grades and comments could be intercepted over remote HTTP.</x:v>
      </x:c>
      <x:c r="F47" s="67" t="n">
        <x:v>2</x:v>
      </x:c>
      <x:c r="G47" s="67" t="n">
        <x:v>2</x:v>
      </x:c>
      <x:c r="H47" s="67" t="n">
        <x:f>F47*G47</x:f>
        <x:v>4</x:v>
      </x:c>
      <x:c r="I47" s="66" t="str">
        <x:v>L: Requires an untrusted remote network path or traffic access; not established locally. I: Submitted private educational records could be disclosed.</x:v>
      </x:c>
      <x:c r="J47" s="66" t="str">
        <x:v>STRIDE 6-I; web/app.py:247-256,392-394; docker-compose.yml:28-29</x:v>
      </x:c>
    </x:row>
    <x:row r="48" ht="51" customHeight="1">
      <x:c r="A48" s="60"/>
      <x:c r="B48" s="66" t="str">
        <x:v>6-D</x:v>
      </x:c>
      <x:c r="C48" s="66" t="str">
        <x:v>6</x:v>
      </x:c>
      <x:c r="D48" s="66" t="str">
        <x:v>D</x:v>
      </x:c>
      <x:c r="E48" s="66" t="str">
        <x:v>Many large grade submissions could overload the service.</x:v>
      </x:c>
      <x:c r="F48" s="67" t="n">
        <x:v>2</x:v>
      </x:c>
      <x:c r="G48" s="67" t="n">
        <x:v>2</x:v>
      </x:c>
      <x:c r="H48" s="67" t="n">
        <x:f>F48*G48</x:f>
        <x:v>4</x:v>
      </x:c>
      <x:c r="I48" s="66" t="str">
        <x:v>L: Requires writer access and many or oversized requests. I: Database or application resources could become unavailable.</x:v>
      </x:c>
      <x:c r="J48" s="66" t="str">
        <x:v>STRIDE 6-D; web/app.py:247-269; db/init.sql:26-32</x:v>
      </x:c>
    </x:row>
    <x:row r="49" ht="51" customHeight="1">
      <x:c r="A49" s="60"/>
      <x:c r="B49" s="66" t="str">
        <x:v>6-E</x:v>
      </x:c>
      <x:c r="C49" s="66" t="str">
        <x:v>6</x:v>
      </x:c>
      <x:c r="D49" s="66" t="str">
        <x:v>E</x:v>
      </x:c>
      <x:c r="E49" s="66" t="str">
        <x:v>Teachers could change grades in other classes.</x:v>
      </x:c>
      <x:c r="F49" s="67" t="n">
        <x:v>3</x:v>
      </x:c>
      <x:c r="G49" s="67" t="n">
        <x:v>3</x:v>
      </x:c>
      <x:c r="H49" s="67" t="n">
        <x:f>F49*G49</x:f>
        <x:v>9</x:v>
      </x:c>
      <x:c r="I49" s="66" t="str">
        <x:v>L: Assigned-course checks are absent from normal teacher writes. I: Unauthorized grade changes are a severe integrity loss.</x:v>
      </x:c>
      <x:c r="J49" s="66" t="str">
        <x:v>STRIDE 6-E; web/app.py:247-269</x:v>
      </x:c>
    </x:row>
    <x:row r="50" ht="51" customHeight="1">
      <x:c r="A50" s="60"/>
      <x:c r="B50" s="66" t="str">
        <x:v>7-S</x:v>
      </x:c>
      <x:c r="C50" s="66" t="str">
        <x:v>7</x:v>
      </x:c>
      <x:c r="D50" s="66" t="str">
        <x:v>S</x:v>
      </x:c>
      <x:c r="E50" s="66" t="str">
        <x:v>An attacker controlling HTTP traffic could fake teacher pages.</x:v>
      </x:c>
      <x:c r="F50" s="67" t="n">
        <x:v>2</x:v>
      </x:c>
      <x:c r="G50" s="67" t="n">
        <x:v>3</x:v>
      </x:c>
      <x:c r="H50" s="67" t="n">
        <x:f>F50*G50</x:f>
        <x:v>6</x:v>
      </x:c>
      <x:c r="I50" s="66" t="str">
        <x:v>L: Requires control of a remote untrusted HTTP path. I: Forged login pages or active page content could compromise a teacher account.</x:v>
      </x:c>
      <x:c r="J50" s="66" t="str">
        <x:v>STRIDE 7-S; web/app.py:141-175,244,392-394</x:v>
      </x:c>
    </x:row>
    <x:row r="51" ht="51" customHeight="1">
      <x:c r="A51" s="60"/>
      <x:c r="B51" s="66" t="str">
        <x:v>7-T</x:v>
      </x:c>
      <x:c r="C51" s="66" t="str">
        <x:v>7</x:v>
      </x:c>
      <x:c r="D51" s="66" t="str">
        <x:v>T</x:v>
      </x:c>
      <x:c r="E51" s="66" t="str">
        <x:v>Unescaped comments could run scripts on the teacher page.</x:v>
      </x:c>
      <x:c r="F51" s="67" t="n">
        <x:v>2</x:v>
      </x:c>
      <x:c r="G51" s="67" t="n">
        <x:v>3</x:v>
      </x:c>
      <x:c r="H51" s="67" t="n">
        <x:f>F51*G51</x:f>
        <x:v>6</x:v>
      </x:c>
      <x:c r="I51" s="66" t="str">
        <x:v>L: Requires stored malicious comments and a teacher loading the page. I: Same-origin script can act with teacher authority or access session data.</x:v>
      </x:c>
      <x:c r="J51" s="66" t="str">
        <x:v>STRIDE 7-T; web/templates/teacher.html:41-47; web/app.py:247-269</x:v>
      </x:c>
    </x:row>
    <x:row r="52" ht="51" customHeight="1">
      <x:c r="A52" s="60"/>
      <x:c r="B52" s="66" t="str">
        <x:v>7-Ra</x:v>
      </x:c>
      <x:c r="C52" s="66" t="str">
        <x:v>7</x:v>
      </x:c>
      <x:c r="D52" s="66" t="str">
        <x:v>R</x:v>
      </x:c>
      <x:c r="E52" s="66" t="str">
        <x:v>CSV exports could leave no access record.</x:v>
      </x:c>
      <x:c r="F52" s="67" t="n">
        <x:v>2</x:v>
      </x:c>
      <x:c r="G52" s="67" t="n">
        <x:v>1</x:v>
      </x:c>
      <x:c r="H52" s="67" t="n">
        <x:f>F52*G52</x:f>
        <x:v>2</x:v>
      </x:c>
      <x:c r="I52" s="66" t="str">
        <x:v>L: Requires a teacher exporting data; no export audit is written. I: Investigation loses download evidence, without an independent data change.</x:v>
      </x:c>
      <x:c r="J52" s="66" t="str">
        <x:v>STRIDE 7-R; web/app.py:275-306</x:v>
      </x:c>
    </x:row>
    <x:row r="53" ht="51" customHeight="1">
      <x:c r="A53" s="60"/>
      <x:c r="B53" s="66" t="str">
        <x:v>7-Rb</x:v>
      </x:c>
      <x:c r="C53" s="66" t="str">
        <x:v>7</x:v>
      </x:c>
      <x:c r="D53" s="66" t="str">
        <x:v>R</x:v>
      </x:c>
      <x:c r="E53" s="66" t="str">
        <x:v>Saved grades could lack a full change record.</x:v>
      </x:c>
      <x:c r="F53" s="67" t="n">
        <x:v>2</x:v>
      </x:c>
      <x:c r="G53" s="67" t="n">
        <x:v>2</x:v>
      </x:c>
      <x:c r="H53" s="67" t="n">
        <x:f>F53*G53</x:f>
        <x:v>4</x:v>
      </x:c>
      <x:c r="I53" s="66" t="str">
        <x:v>L: Requires a grade change and later dispute; only actor and note ID are logged. I: Old/new grade and comment values cannot be reliably reconstructed.</x:v>
      </x:c>
      <x:c r="J53" s="66" t="str">
        <x:v>STRIDE 7-R; web/app.py:259-272</x:v>
      </x:c>
    </x:row>
    <x:row r="54" ht="51" customHeight="1">
      <x:c r="A54" s="60"/>
      <x:c r="B54" s="66" t="str">
        <x:v>7-Ia</x:v>
      </x:c>
      <x:c r="C54" s="66" t="str">
        <x:v>7</x:v>
      </x:c>
      <x:c r="D54" s="66" t="str">
        <x:v>I</x:v>
      </x:c>
      <x:c r="E54" s="66" t="str">
        <x:v>Exports could expose grades from other classes.</x:v>
      </x:c>
      <x:c r="F54" s="67" t="n">
        <x:v>3</x:v>
      </x:c>
      <x:c r="G54" s="67" t="n">
        <x:v>3</x:v>
      </x:c>
      <x:c r="H54" s="67" t="n">
        <x:f>F54*G54</x:f>
        <x:v>9</x:v>
      </x:c>
      <x:c r="I54" s="66" t="str">
        <x:v>L: Ordinary teachers can export any class or all classes. I: Many students' identities and grades could be disclosed.</x:v>
      </x:c>
      <x:c r="J54" s="66" t="str">
        <x:v>STRIDE 7-I; web/app.py:275-306</x:v>
      </x:c>
    </x:row>
    <x:row r="55" ht="51" customHeight="1">
      <x:c r="A55" s="60"/>
      <x:c r="B55" s="66" t="str">
        <x:v>7-Ib</x:v>
      </x:c>
      <x:c r="C55" s="66" t="str">
        <x:v>7</x:v>
      </x:c>
      <x:c r="D55" s="66" t="str">
        <x:v>I</x:v>
      </x:c>
      <x:c r="E55" s="66" t="str">
        <x:v>Teacher pages or CSVs could be intercepted over HTTP.</x:v>
      </x:c>
      <x:c r="F55" s="67" t="n">
        <x:v>2</x:v>
      </x:c>
      <x:c r="G55" s="67" t="n">
        <x:v>2</x:v>
      </x:c>
      <x:c r="H55" s="67" t="n">
        <x:f>F55*G55</x:f>
        <x:v>4</x:v>
      </x:c>
      <x:c r="I55" s="66" t="str">
        <x:v>L: Requires access to an untrusted remote network path. I: Private grade records and comments could be disclosed in transit.</x:v>
      </x:c>
      <x:c r="J55" s="66" t="str">
        <x:v>STRIDE 7-I; web/app.py:244,298-306,392-394</x:v>
      </x:c>
    </x:row>
    <x:row r="56" ht="51" customHeight="1">
      <x:c r="A56" s="60"/>
      <x:c r="B56" s="66" t="str">
        <x:v>7-D</x:v>
      </x:c>
      <x:c r="C56" s="66" t="str">
        <x:v>7</x:v>
      </x:c>
      <x:c r="D56" s="66" t="str">
        <x:v>D</x:v>
      </x:c>
      <x:c r="E56" s="66" t="str">
        <x:v>Large CSV exports could use too much memory.</x:v>
      </x:c>
      <x:c r="F56" s="67" t="n">
        <x:v>2</x:v>
      </x:c>
      <x:c r="G56" s="67" t="n">
        <x:v>2</x:v>
      </x:c>
      <x:c r="H56" s="67" t="n">
        <x:f>F56*G56</x:f>
        <x:v>4</x:v>
      </x:c>
      <x:c r="I56" s="66" t="str">
        <x:v>L: Requires a large dataset or concurrent exports; the complete CSV is buffered in memory. I: Memory pressure could reduce application availability.</x:v>
      </x:c>
      <x:c r="J56" s="66" t="str">
        <x:v>STRIDE 7-D; web/app.py:296-306</x:v>
      </x:c>
    </x:row>
    <x:row r="57" ht="51" customHeight="1">
      <x:c r="A57" s="60"/>
      <x:c r="B57" s="66" t="str">
        <x:v>7-Ea</x:v>
      </x:c>
      <x:c r="C57" s="66" t="str">
        <x:v>7</x:v>
      </x:c>
      <x:c r="D57" s="66" t="str">
        <x:v>E</x:v>
      </x:c>
      <x:c r="E57" s="66" t="str">
        <x:v>Comment scripts might act through a teacher's login.</x:v>
      </x:c>
      <x:c r="F57" s="67" t="n">
        <x:v>2</x:v>
      </x:c>
      <x:c r="G57" s="67" t="n">
        <x:v>3</x:v>
      </x:c>
      <x:c r="H57" s="67" t="n">
        <x:f>F57*G57</x:f>
        <x:v>6</x:v>
      </x:c>
      <x:c r="I57" s="66" t="str">
        <x:v>L: Requires stored malicious content and teacher page viewing. I: Teacher-session actions could make unauthorized grade changes.</x:v>
      </x:c>
      <x:c r="J57" s="66" t="str">
        <x:v>STRIDE 7-E; web/templates/teacher.html:41-47; web/app.py:247-269</x:v>
      </x:c>
    </x:row>
    <x:row r="58" ht="63" customHeight="1">
      <x:c r="A58" s="60"/>
      <x:c r="B58" s="66" t="str">
        <x:v>7-Eb</x:v>
      </x:c>
      <x:c r="C58" s="66" t="str">
        <x:v>7</x:v>
      </x:c>
      <x:c r="D58" s="66" t="str">
        <x:v>E</x:v>
      </x:c>
      <x:c r="E58" s="66" t="str">
        <x:v>Spreadsheet formulas might trigger unwanted actions.</x:v>
      </x:c>
      <x:c r="F58" s="67" t="n">
        <x:v>1</x:v>
      </x:c>
      <x:c r="G58" s="67" t="n">
        <x:v>2</x:v>
      </x:c>
      <x:c r="H58" s="67" t="n">
        <x:f>F58*G58</x:f>
        <x:v>2</x:v>
      </x:c>
      <x:c r="I58" s="66" t="str">
        <x:v>L: Requires attacker-controlled CSV cells, a victim opening the file and permissive spreadsheet behavior; not tested. I: Potential external actions or data disclosure are meaningful; arbitrary code execution is not assumed.</x:v>
      </x:c>
      <x:c r="J58" s="66" t="str">
        <x:v>STRIDE 7-E; web/app.py:298-306; web/app.py:255-256</x:v>
      </x:c>
    </x:row>
    <x:row r="59" ht="51" customHeight="1">
      <x:c r="A59" s="60"/>
      <x:c r="B59" s="66" t="str">
        <x:v>8-S</x:v>
      </x:c>
      <x:c r="C59" s="66" t="str">
        <x:v>8</x:v>
      </x:c>
      <x:c r="D59" s="66" t="str">
        <x:v>S</x:v>
      </x:c>
      <x:c r="E59" s="66" t="str">
        <x:v>Known default passwords could allow a fake admin login.</x:v>
      </x:c>
      <x:c r="F59" s="67" t="n">
        <x:v>3</x:v>
      </x:c>
      <x:c r="G59" s="67" t="n">
        <x:v>3</x:v>
      </x:c>
      <x:c r="H59" s="67" t="n">
        <x:f>F59*G59</x:f>
        <x:v>9</x:v>
      </x:c>
      <x:c r="I59" s="66" t="str">
        <x:v>L: Published seed credentials work through normal login if unchanged. I: Another person's account could be compromised.</x:v>
      </x:c>
      <x:c r="J59" s="66" t="str">
        <x:v>STRIDE 8-S; db/init.sql:34-35; web/app.py:145-171</x:v>
      </x:c>
    </x:row>
    <x:row r="60" ht="51" customHeight="1">
      <x:c r="A60" s="60"/>
      <x:c r="B60" s="66" t="str">
        <x:v>8-T</x:v>
      </x:c>
      <x:c r="C60" s="66" t="str">
        <x:v>8</x:v>
      </x:c>
      <x:c r="D60" s="66" t="str">
        <x:v>T</x:v>
      </x:c>
      <x:c r="E60" s="66" t="str">
        <x:v>Login text could change SQL and bypass authentication.</x:v>
      </x:c>
      <x:c r="F60" s="67" t="n">
        <x:v>3</x:v>
      </x:c>
      <x:c r="G60" s="67" t="n">
        <x:v>3</x:v>
      </x:c>
      <x:c r="H60" s="67" t="n">
        <x:f>F60*G60</x:f>
        <x:v>9</x:v>
      </x:c>
      <x:c r="I60" s="66" t="str">
        <x:v>L: The unauthenticated login directly joins input into SQL. I: A returned user's identity and role become a logged-in session.</x:v>
      </x:c>
      <x:c r="J60" s="66" t="str">
        <x:v>STRIDE 8-T; web/app.py:145-171</x:v>
      </x:c>
    </x:row>
    <x:row r="61" ht="51" customHeight="1">
      <x:c r="A61" s="60"/>
      <x:c r="B61" s="66" t="str">
        <x:v>8-R</x:v>
      </x:c>
      <x:c r="C61" s="66" t="str">
        <x:v>8</x:v>
      </x:c>
      <x:c r="D61" s="66" t="str">
        <x:v>R</x:v>
      </x:c>
      <x:c r="E61" s="66" t="str">
        <x:v>Login logs could fail to identify the request source.</x:v>
      </x:c>
      <x:c r="F61" s="67" t="n">
        <x:v>3</x:v>
      </x:c>
      <x:c r="G61" s="67" t="n">
        <x:v>1</x:v>
      </x:c>
      <x:c r="H61" s="67" t="n">
        <x:f>F61*G61</x:f>
        <x:v>3</x:v>
      </x:c>
      <x:c r="I61" s="66" t="str">
        <x:v>L: Every login uses logs without client or request identifiers. I: Investigation is harder, but this gap alone does not grant access.</x:v>
      </x:c>
      <x:c r="J61" s="66" t="str">
        <x:v>STRIDE 8-R; web/app.py:170,174</x:v>
      </x:c>
    </x:row>
    <x:row r="62" ht="51" customHeight="1">
      <x:c r="A62" s="60"/>
      <x:c r="B62" s="66" t="str">
        <x:v>8-I</x:v>
      </x:c>
      <x:c r="C62" s="66" t="str">
        <x:v>8</x:v>
      </x:c>
      <x:c r="D62" s="66" t="str">
        <x:v>I</x:v>
      </x:c>
      <x:c r="E62" s="66" t="str">
        <x:v>Passwords could be intercepted over remote HTTP.</x:v>
      </x:c>
      <x:c r="F62" s="67" t="n">
        <x:v>2</x:v>
      </x:c>
      <x:c r="G62" s="67" t="n">
        <x:v>3</x:v>
      </x:c>
      <x:c r="H62" s="67" t="n">
        <x:f>F62*G62</x:f>
        <x:v>6</x:v>
      </x:c>
      <x:c r="I62" s="66" t="str">
        <x:v>L: Requires an untrusted remote network path or traffic access; not established by the localhost demo. I: A captured password can compromise an account.</x:v>
      </x:c>
      <x:c r="J62" s="66" t="str">
        <x:v>STRIDE 8-I; web/app.py:141-146,392-394; docker-compose.yml:28-29</x:v>
      </x:c>
    </x:row>
    <x:row r="63" ht="51" customHeight="1">
      <x:c r="A63" s="60"/>
      <x:c r="B63" s="66" t="str">
        <x:v>8-D</x:v>
      </x:c>
      <x:c r="C63" s="66" t="str">
        <x:v>8</x:v>
      </x:c>
      <x:c r="D63" s="66" t="str">
        <x:v>D</x:v>
      </x:c>
      <x:c r="E63" s="66" t="str">
        <x:v>Too many login attempts could slow the app.</x:v>
      </x:c>
      <x:c r="F63" s="67" t="n">
        <x:v>2</x:v>
      </x:c>
      <x:c r="G63" s="67" t="n">
        <x:v>2</x:v>
      </x:c>
      <x:c r="H63" s="67" t="n">
        <x:f>F63*G63</x:f>
        <x:v>4</x:v>
      </x:c>
      <x:c r="I63" s="66" t="str">
        <x:v>L: Requires sufficient request volume; no application login rate limit is present. I: Login and other database-backed pages may become unavailable.</x:v>
      </x:c>
      <x:c r="J63" s="66" t="str">
        <x:v>STRIDE 8-D; web/app.py:141-161; web/app.py:48-54</x:v>
      </x:c>
    </x:row>
    <x:row r="64" ht="51" customHeight="1">
      <x:c r="A64" s="60"/>
      <x:c r="B64" s="66" t="str">
        <x:v>8-E</x:v>
      </x:c>
      <x:c r="C64" s="66" t="str">
        <x:v>8</x:v>
      </x:c>
      <x:c r="D64" s="66" t="str">
        <x:v>E</x:v>
      </x:c>
      <x:c r="E64" s="66" t="str">
        <x:v>SQL injection might log someone in with a stronger role.</x:v>
      </x:c>
      <x:c r="F64" s="67" t="n">
        <x:v>3</x:v>
      </x:c>
      <x:c r="G64" s="67" t="n">
        <x:v>3</x:v>
      </x:c>
      <x:c r="H64" s="67" t="n">
        <x:f>F64*G64</x:f>
        <x:v>9</x:v>
      </x:c>
      <x:c r="I64" s="66" t="str">
        <x:v>L: A public login query concatenates untrusted input. I: A selected teacher or admin identity would grant higher application privileges; no attack was tested.</x:v>
      </x:c>
      <x:c r="J64" s="66" t="str">
        <x:v>STRIDE 8-E; web/app.py:147-171; web/app.py:119-124</x:v>
      </x:c>
    </x:row>
    <x:row r="65" ht="51" customHeight="1">
      <x:c r="A65" s="60"/>
      <x:c r="B65" s="66" t="str">
        <x:v>9-S</x:v>
      </x:c>
      <x:c r="C65" s="66" t="str">
        <x:v>9</x:v>
      </x:c>
      <x:c r="D65" s="66" t="str">
        <x:v>S</x:v>
      </x:c>
      <x:c r="E65" s="66" t="str">
        <x:v>The public session key could allow a fake admin session.</x:v>
      </x:c>
      <x:c r="F65" s="67" t="n">
        <x:v>3</x:v>
      </x:c>
      <x:c r="G65" s="67" t="n">
        <x:v>3</x:v>
      </x:c>
      <x:c r="H65" s="67" t="n">
        <x:f>F65*G65</x:f>
        <x:v>9</x:v>
      </x:c>
      <x:c r="I65" s="66" t="str">
        <x:v>L: The signing key is public and fixed if not overridden. I: Admin identity compromise permits user management and diagnostics.</x:v>
      </x:c>
      <x:c r="J65" s="66" t="str">
        <x:v>STRIDE 9-S; web/app.py:29-33,119-124,309-328,362-365; docker-compose.yml:27</x:v>
      </x:c>
    </x:row>
    <x:row r="66" ht="51" customHeight="1">
      <x:c r="A66" s="60"/>
      <x:c r="B66" s="66" t="str">
        <x:v>9-Ta</x:v>
      </x:c>
      <x:c r="C66" s="66" t="str">
        <x:v>9</x:v>
      </x:c>
      <x:c r="D66" s="66" t="str">
        <x:v>T</x:v>
      </x:c>
      <x:c r="E66" s="66" t="str">
        <x:v>Cross-site requests might trigger admin user changes or diagnostics.</x:v>
      </x:c>
      <x:c r="F66" s="67" t="n">
        <x:v>2</x:v>
      </x:c>
      <x:c r="G66" s="67" t="n">
        <x:v>3</x:v>
      </x:c>
      <x:c r="H66" s="67" t="n">
        <x:f>F66*G66</x:f>
        <x:v>6</x:v>
      </x:c>
      <x:c r="I66" s="66" t="str">
        <x:v>L: Requires an active admin session and browser conditions admitting cross-site POSTs; not tested. I: Unauthorized account creation or privileged diagnostic execution could compromise accounts.</x:v>
      </x:c>
      <x:c r="J66" s="66" t="str">
        <x:v>STRIDE 9-T; web/app.py:324-341,362-379; web/templates/admin.html:14-35,49-51</x:v>
      </x:c>
    </x:row>
    <x:row r="67" ht="51" customHeight="1">
      <x:c r="A67" s="60"/>
      <x:c r="B67" s="66" t="str">
        <x:v>9-Tb</x:v>
      </x:c>
      <x:c r="C67" s="66" t="str">
        <x:v>9</x:v>
      </x:c>
      <x:c r="D67" s="66" t="str">
        <x:v>T</x:v>
      </x:c>
      <x:c r="E67" s="66" t="str">
        <x:v>Unsafe host input could change the diagnostic command.</x:v>
      </x:c>
      <x:c r="F67" s="67" t="n">
        <x:v>2</x:v>
      </x:c>
      <x:c r="G67" s="67" t="n">
        <x:v>3</x:v>
      </x:c>
      <x:c r="H67" s="67" t="n">
        <x:f>F67*G67</x:f>
        <x:v>6</x:v>
      </x:c>
      <x:c r="I67" s="66" t="str">
        <x:v>L: Requires admin-authorized access to the diagnostic endpoint. I: Input reaches a shell in the application context, permitting effects beyond the intended ping.</x:v>
      </x:c>
      <x:c r="J67" s="66" t="str">
        <x:v>STRIDE 9-T; web/app.py:324-335; web/Dockerfile:24</x:v>
      </x:c>
    </x:row>
    <x:row r="68" ht="51" customHeight="1">
      <x:c r="A68" s="60"/>
      <x:c r="B68" s="66" t="str">
        <x:v>9-Ra</x:v>
      </x:c>
      <x:c r="C68" s="66" t="str">
        <x:v>9</x:v>
      </x:c>
      <x:c r="D68" s="66" t="str">
        <x:v>R</x:v>
      </x:c>
      <x:c r="E68" s="66" t="str">
        <x:v>User creation and deletion could leave no audit record.</x:v>
      </x:c>
      <x:c r="F68" s="67" t="n">
        <x:v>2</x:v>
      </x:c>
      <x:c r="G68" s="67" t="n">
        <x:v>2</x:v>
      </x:c>
      <x:c r="H68" s="67" t="n">
        <x:f>F68*G68</x:f>
        <x:v>4</x:v>
      </x:c>
      <x:c r="I68" s="66" t="str">
        <x:v>L: Requires admin user-management activity; the route writes no audit log. I: Account changes cannot be reliably attributed or reconstructed.</x:v>
      </x:c>
      <x:c r="J68" s="66" t="str">
        <x:v>STRIDE 9-R; web/app.py:362-379</x:v>
      </x:c>
    </x:row>
    <x:row r="69" ht="51" customHeight="1">
      <x:c r="A69" s="60"/>
      <x:c r="B69" s="66" t="str">
        <x:v>9-Rb</x:v>
      </x:c>
      <x:c r="C69" s="66" t="str">
        <x:v>9</x:v>
      </x:c>
      <x:c r="D69" s="66" t="str">
        <x:v>R</x:v>
      </x:c>
      <x:c r="E69" s="66" t="str">
        <x:v>Ping logs could fail to show who ran what result.</x:v>
      </x:c>
      <x:c r="F69" s="67" t="n">
        <x:v>2</x:v>
      </x:c>
      <x:c r="G69" s="67" t="n">
        <x:v>1</x:v>
      </x:c>
      <x:c r="H69" s="67" t="n">
        <x:f>F69*G69</x:f>
        <x:v>2</x:v>
      </x:c>
      <x:c r="I69" s="66" t="str">
        <x:v>L: Requires an admin diagnostic action; the log records only the submitted host. I: Diagnostic traceability is reduced, without an independent permission change.</x:v>
      </x:c>
      <x:c r="J69" s="66" t="str">
        <x:v>STRIDE 9-R; web/app.py:324-341</x:v>
      </x:c>
    </x:row>
    <x:row r="70" ht="51" customHeight="1">
      <x:c r="A70" s="60"/>
      <x:c r="B70" s="66" t="str">
        <x:v>9-I</x:v>
      </x:c>
      <x:c r="C70" s="66" t="str">
        <x:v>9</x:v>
      </x:c>
      <x:c r="D70" s="66" t="str">
        <x:v>I</x:v>
      </x:c>
      <x:c r="E70" s="66" t="str">
        <x:v>New passwords could be intercepted over remote HTTP.</x:v>
      </x:c>
      <x:c r="F70" s="67" t="n">
        <x:v>2</x:v>
      </x:c>
      <x:c r="G70" s="67" t="n">
        <x:v>3</x:v>
      </x:c>
      <x:c r="H70" s="67" t="n">
        <x:f>F70*G70</x:f>
        <x:v>6</x:v>
      </x:c>
      <x:c r="I70" s="66" t="str">
        <x:v>L: Requires admin account creation over an untrusted remote network path. I: Captured credentials could compromise the new account.</x:v>
      </x:c>
      <x:c r="J70" s="66" t="str">
        <x:v>STRIDE 9-I; web/app.py:362-375,392-394; web/templates/admin.html:26-35</x:v>
      </x:c>
    </x:row>
    <x:row r="71" ht="51" customHeight="1">
      <x:c r="A71" s="60"/>
      <x:c r="B71" s="66" t="str">
        <x:v>9-D</x:v>
      </x:c>
      <x:c r="C71" s="66" t="str">
        <x:v>9</x:v>
      </x:c>
      <x:c r="D71" s="66" t="str">
        <x:v>D</x:v>
      </x:c>
      <x:c r="E71" s="66" t="str">
        <x:v>Many ping requests could occupy the app's workers.</x:v>
      </x:c>
      <x:c r="F71" s="67" t="n">
        <x:v>2</x:v>
      </x:c>
      <x:c r="G71" s="67" t="n">
        <x:v>2</x:v>
      </x:c>
      <x:c r="H71" s="67" t="n">
        <x:f>F71*G71</x:f>
        <x:v>4</x:v>
      </x:c>
      <x:c r="I71" s="66" t="str">
        <x:v>L: Requires admin access and enough concurrent requests; the 10-second per-call timeout does not bound request volume. I: Other users may lose timely access to the application.</x:v>
      </x:c>
      <x:c r="J71" s="66" t="str">
        <x:v>STRIDE 9-D; web/app.py:324-335</x:v>
      </x:c>
    </x:row>
    <x:row r="72" ht="51" customHeight="1">
      <x:c r="A72" s="60"/>
      <x:c r="B72" s="66" t="str">
        <x:v>9-E</x:v>
      </x:c>
      <x:c r="C72" s="66" t="str">
        <x:v>9</x:v>
      </x:c>
      <x:c r="D72" s="66" t="str">
        <x:v>E</x:v>
      </x:c>
      <x:c r="E72" s="66" t="str">
        <x:v>Host input could execute commands beyond ping.</x:v>
      </x:c>
      <x:c r="F72" s="67" t="n">
        <x:v>2</x:v>
      </x:c>
      <x:c r="G72" s="67" t="n">
        <x:v>3</x:v>
      </x:c>
      <x:c r="H72" s="67" t="n">
        <x:f>F72*G72</x:f>
        <x:v>6</x:v>
      </x:c>
      <x:c r="I72" s="66" t="str">
        <x:v>L: The route requires an admin session; host input is then directly passed to shell=True. I: Application-context command execution can compromise service data and integrity.</x:v>
      </x:c>
      <x:c r="J72" s="66" t="str">
        <x:v>STRIDE 9-E; web/app.py:324-335; web/Dockerfile:24</x:v>
      </x:c>
    </x:row>
    <x:row r="73" ht="51" customHeight="1">
      <x:c r="A73" s="60"/>
      <x:c r="B73" s="66" t="str">
        <x:v>10-S</x:v>
      </x:c>
      <x:c r="C73" s="66" t="str">
        <x:v>10</x:v>
      </x:c>
      <x:c r="D73" s="66" t="str">
        <x:v>S</x:v>
      </x:c>
      <x:c r="E73" s="66" t="str">
        <x:v>An attacker controlling HTTP traffic could fake the admin page.</x:v>
      </x:c>
      <x:c r="F73" s="67" t="n">
        <x:v>2</x:v>
      </x:c>
      <x:c r="G73" s="67" t="n">
        <x:v>3</x:v>
      </x:c>
      <x:c r="H73" s="67" t="n">
        <x:f>F73*G73</x:f>
        <x:v>6</x:v>
      </x:c>
      <x:c r="I73" s="66" t="str">
        <x:v>L: Requires control of an untrusted remote network path. I: A forged login page or active response could compromise admin identity.</x:v>
      </x:c>
      <x:c r="J73" s="66" t="str">
        <x:v>STRIDE 10-S; web/app.py:141-175,320-321,340-341,392-394</x:v>
      </x:c>
    </x:row>
    <x:row r="74" ht="51" customHeight="1">
      <x:c r="A74" s="60"/>
      <x:c r="B74" s="66" t="str">
        <x:v>10-T</x:v>
      </x:c>
      <x:c r="C74" s="66" t="str">
        <x:v>10</x:v>
      </x:c>
      <x:c r="D74" s="66" t="str">
        <x:v>T</x:v>
      </x:c>
      <x:c r="E74" s="66" t="str">
        <x:v>An attacker controlling traffic could change displayed admin results.</x:v>
      </x:c>
      <x:c r="F74" s="67" t="n">
        <x:v>2</x:v>
      </x:c>
      <x:c r="G74" s="67" t="n">
        <x:v>2</x:v>
      </x:c>
      <x:c r="H74" s="67" t="n">
        <x:f>F74*G74</x:f>
        <x:v>4</x:v>
      </x:c>
      <x:c r="I74" s="66" t="str">
        <x:v>L: Requires access to the remote HTTP path; not established by the localhost demo. I: Misleading management results could cause meaningful operational mistakes.</x:v>
      </x:c>
      <x:c r="J74" s="66" t="str">
        <x:v>STRIDE 10-T; web/app.py:320-321,340-341,379,392-394</x:v>
      </x:c>
    </x:row>
    <x:row r="75" ht="51" customHeight="1">
      <x:c r="A75" s="60"/>
      <x:c r="B75" s="66" t="str">
        <x:v>10-R</x:v>
      </x:c>
      <x:c r="C75" s="66" t="str">
        <x:v>10</x:v>
      </x:c>
      <x:c r="D75" s="66" t="str">
        <x:v>R</x:v>
      </x:c>
      <x:c r="E75" s="66" t="str">
        <x:v>User changes could lack a record of what happened.</x:v>
      </x:c>
      <x:c r="F75" s="67" t="n">
        <x:v>2</x:v>
      </x:c>
      <x:c r="G75" s="67" t="n">
        <x:v>2</x:v>
      </x:c>
      <x:c r="H75" s="67" t="n">
        <x:f>F75*G75</x:f>
        <x:v>4</x:v>
      </x:c>
      <x:c r="I75" s="66" t="str">
        <x:v>L: Requires admin user changes; the application only redirects after the database action. I: Meaningful account changes lack attribution and history.</x:v>
      </x:c>
      <x:c r="J75" s="66" t="str">
        <x:v>STRIDE 10-R; web/app.py:362-379</x:v>
      </x:c>
    </x:row>
    <x:row r="76" ht="51" customHeight="1">
      <x:c r="A76" s="60"/>
      <x:c r="B76" s="66" t="str">
        <x:v>10-I</x:v>
      </x:c>
      <x:c r="C76" s="66" t="str">
        <x:v>10</x:v>
      </x:c>
      <x:c r="D76" s="66" t="str">
        <x:v>I</x:v>
      </x:c>
      <x:c r="E76" s="66" t="str">
        <x:v>User lists and ping results could be intercepted over HTTP.</x:v>
      </x:c>
      <x:c r="F76" s="67" t="n">
        <x:v>2</x:v>
      </x:c>
      <x:c r="G76" s="67" t="n">
        <x:v>2</x:v>
      </x:c>
      <x:c r="H76" s="67" t="n">
        <x:f>F76*G76</x:f>
        <x:v>4</x:v>
      </x:c>
      <x:c r="I76" s="66" t="str">
        <x:v>L: Requires an untrusted remote network path. I: User roles and diagnostic details could be disclosed; password exposure is not assumed in these lists.</x:v>
      </x:c>
      <x:c r="J76" s="66" t="str">
        <x:v>STRIDE 10-I; web/app.py:315-321,339-359,392-394</x:v>
      </x:c>
    </x:row>
    <x:row r="77" ht="51" customHeight="1">
      <x:c r="A77" s="60"/>
      <x:c r="B77" s="66" t="str">
        <x:v>10-D</x:v>
      </x:c>
      <x:c r="C77" s="66" t="str">
        <x:v>10</x:v>
      </x:c>
      <x:c r="D77" s="66" t="str">
        <x:v>D</x:v>
      </x:c>
      <x:c r="E77" s="66" t="str">
        <x:v>Long lists or ping output could slow the admin page.</x:v>
      </x:c>
      <x:c r="F77" s="67" t="n">
        <x:v>2</x:v>
      </x:c>
      <x:c r="G77" s="67" t="n">
        <x:v>1</x:v>
      </x:c>
      <x:c r="H77" s="67" t="n">
        <x:f>F77*G77</x:f>
        <x:v>2</x:v>
      </x:c>
      <x:c r="I77" s="66" t="str">
        <x:v>L: Requires a large list or excessive diagnostic output; ordinary size effects are untested. I: Primarily disrupts the admin page being viewed.</x:v>
      </x:c>
      <x:c r="J77" s="66" t="str">
        <x:v>STRIDE 10-D; web/app.py:315-321,333-341; web/templates/admin.html:8-23,53</x:v>
      </x:c>
    </x:row>
    <x:row r="78" ht="51" customHeight="1">
      <x:c r="A78" s="60"/>
      <x:c r="B78" s="66" t="str">
        <x:v>11-S</x:v>
      </x:c>
      <x:c r="C78" s="66" t="str">
        <x:v>11</x:v>
      </x:c>
      <x:c r="D78" s="66" t="str">
        <x:v>S</x:v>
      </x:c>
      <x:c r="E78" s="66" t="str">
        <x:v>A fake database could trick the app into connecting.</x:v>
      </x:c>
      <x:c r="F78" s="67" t="n">
        <x:v>1</x:v>
      </x:c>
      <x:c r="G78" s="67" t="n">
        <x:v>3</x:v>
      </x:c>
      <x:c r="H78" s="67" t="n">
        <x:f>F78*G78</x:f>
        <x:v>3</x:v>
      </x:c>
      <x:c r="I78" s="66" t="str">
        <x:v>L: Requires unusual control over the database endpoint or internal connection path; mere network reachability is insufficient. I: False authentication results could compromise application identities.</x:v>
      </x:c>
      <x:c r="J78" s="66" t="str">
        <x:v>STRIDE 11-S; web/app.py:25-28,48-54,155-169</x:v>
      </x:c>
    </x:row>
    <x:row r="79" ht="51" customHeight="1">
      <x:c r="A79" s="60"/>
      <x:c r="B79" s="66" t="str">
        <x:v>11-T</x:v>
      </x:c>
      <x:c r="C79" s="66" t="str">
        <x:v>11</x:v>
      </x:c>
      <x:c r="D79" s="66" t="str">
        <x:v>T</x:v>
      </x:c>
      <x:c r="E79" s="66" t="str">
        <x:v>Joined login inputs could change the authentication SQL.</x:v>
      </x:c>
      <x:c r="F79" s="67" t="n">
        <x:v>3</x:v>
      </x:c>
      <x:c r="G79" s="67" t="n">
        <x:v>3</x:v>
      </x:c>
      <x:c r="H79" s="67" t="n">
        <x:f>F79*G79</x:f>
        <x:v>9</x:v>
      </x:c>
      <x:c r="I79" s="66" t="str">
        <x:v>L: An unauthenticated normal login path directly concatenates credentials. I: Altered query results become an authenticated identity and role.</x:v>
      </x:c>
      <x:c r="J79" s="66" t="str">
        <x:v>STRIDE 11-T; web/app.py:145-169</x:v>
      </x:c>
    </x:row>
    <x:row r="80" ht="51" customHeight="1">
      <x:c r="A80" s="60"/>
      <x:c r="B80" s="66" t="str">
        <x:v>11-R</x:v>
      </x:c>
      <x:c r="C80" s="66" t="str">
        <x:v>11</x:v>
      </x:c>
      <x:c r="D80" s="66" t="str">
        <x:v>R</x:v>
      </x:c>
      <x:c r="E80" s="66" t="str">
        <x:v>A shared database account could hide the actual user.</x:v>
      </x:c>
      <x:c r="F80" s="67" t="n">
        <x:v>2</x:v>
      </x:c>
      <x:c r="G80" s="67" t="n">
        <x:v>1</x:v>
      </x:c>
      <x:c r="H80" s="67" t="n">
        <x:f>F80*G80</x:f>
        <x:v>2</x:v>
      </x:c>
      <x:c r="I80" s="66" t="str">
        <x:v>L: Requires a database-level investigation; queries do not include end-user audit identity. I: Traceability is weakened, although application login logs still exist.</x:v>
      </x:c>
      <x:c r="J80" s="66" t="str">
        <x:v>STRIDE 11-R; web/app.py:48-54,147-170</x:v>
      </x:c>
    </x:row>
    <x:row r="81" ht="51" customHeight="1">
      <x:c r="A81" s="60"/>
      <x:c r="B81" s="66" t="str">
        <x:v>11-I</x:v>
      </x:c>
      <x:c r="C81" s="66" t="str">
        <x:v>11</x:v>
      </x:c>
      <x:c r="D81" s="66" t="str">
        <x:v>I</x:v>
      </x:c>
      <x:c r="E81" s="66" t="str">
        <x:v>Plaintext passwords could leak from queries or storage.</x:v>
      </x:c>
      <x:c r="F81" s="67" t="n">
        <x:v>1</x:v>
      </x:c>
      <x:c r="G81" s="67" t="n">
        <x:v>3</x:v>
      </x:c>
      <x:c r="H81" s="67" t="n">
        <x:f>F81*G81</x:f>
        <x:v>3</x:v>
      </x:c>
      <x:c r="I81" s="66" t="str">
        <x:v>L: Requires prior access to database records, query logs or a compromised internal connection. I: Recovered plaintext passwords could compromise many accounts.</x:v>
      </x:c>
      <x:c r="J81" s="66" t="str">
        <x:v>STRIDE 11-I; web/app.py:148-150; db/init.sql:6-10</x:v>
      </x:c>
    </x:row>
    <x:row r="82" ht="51" customHeight="1">
      <x:c r="A82" s="60"/>
      <x:c r="B82" s="66" t="str">
        <x:v>11-D</x:v>
      </x:c>
      <x:c r="C82" s="66" t="str">
        <x:v>11</x:v>
      </x:c>
      <x:c r="D82" s="66" t="str">
        <x:v>D</x:v>
      </x:c>
      <x:c r="E82" s="66" t="str">
        <x:v>Many or expensive login queries could overload the database.</x:v>
      </x:c>
      <x:c r="F82" s="67" t="n">
        <x:v>2</x:v>
      </x:c>
      <x:c r="G82" s="67" t="n">
        <x:v>2</x:v>
      </x:c>
      <x:c r="H82" s="67" t="n">
        <x:f>F82*G82</x:f>
        <x:v>4</x:v>
      </x:c>
      <x:c r="I82" s="66" t="str">
        <x:v>L: Requires request volume or a resource-consuming query through the vulnerable login path. I: Database-backed functions could become unavailable; load was not tested.</x:v>
      </x:c>
      <x:c r="J82" s="66" t="str">
        <x:v>STRIDE 11-D; web/app.py:145-161; web/app.py:48-54</x:v>
      </x:c>
    </x:row>
    <x:row r="83" ht="51" customHeight="1">
      <x:c r="A83" s="60"/>
      <x:c r="B83" s="66" t="str">
        <x:v>11-E</x:v>
      </x:c>
      <x:c r="C83" s="66" t="str">
        <x:v>11</x:v>
      </x:c>
      <x:c r="D83" s="66" t="str">
        <x:v>E</x:v>
      </x:c>
      <x:c r="E83" s="66" t="str">
        <x:v>SQL injection might allow higher-privilege account access.</x:v>
      </x:c>
      <x:c r="F83" s="67" t="n">
        <x:v>3</x:v>
      </x:c>
      <x:c r="G83" s="67" t="n">
        <x:v>3</x:v>
      </x:c>
      <x:c r="H83" s="67" t="n">
        <x:f>F83*G83</x:f>
        <x:v>9</x:v>
      </x:c>
      <x:c r="I83" s="66" t="str">
        <x:v>L: The ordinary public login executes input-concatenated SQL. I: At minimum, selected authentication results can become teacher/admin sessions; broader database powers depend on actual privileges.</x:v>
      </x:c>
      <x:c r="J83" s="66" t="str">
        <x:v>STRIDE 11-E; web/app.py:145-171</x:v>
      </x:c>
    </x:row>
    <x:row r="84" ht="51" customHeight="1">
      <x:c r="A84" s="60"/>
      <x:c r="B84" s="66" t="str">
        <x:v>12-S</x:v>
      </x:c>
      <x:c r="C84" s="66" t="str">
        <x:v>12</x:v>
      </x:c>
      <x:c r="D84" s="66" t="str">
        <x:v>S</x:v>
      </x:c>
      <x:c r="E84" s="66" t="str">
        <x:v>A fake database could return a false user or role.</x:v>
      </x:c>
      <x:c r="F84" s="67" t="n">
        <x:v>1</x:v>
      </x:c>
      <x:c r="G84" s="67" t="n">
        <x:v>3</x:v>
      </x:c>
      <x:c r="H84" s="67" t="n">
        <x:f>F84*G84</x:f>
        <x:v>3</x:v>
      </x:c>
      <x:c r="I84" s="66" t="str">
        <x:v>L: Requires prior control of the database service or endpoint. I: The application trusts the returned role when building a session.</x:v>
      </x:c>
      <x:c r="J84" s="66" t="str">
        <x:v>STRIDE 12-S; web/app.py:48-54,155-169</x:v>
      </x:c>
    </x:row>
    <x:row r="85" ht="51" customHeight="1">
      <x:c r="A85" s="60"/>
      <x:c r="B85" s="66" t="str">
        <x:v>12-T</x:v>
      </x:c>
      <x:c r="C85" s="66" t="str">
        <x:v>12</x:v>
      </x:c>
      <x:c r="D85" s="66" t="str">
        <x:v>T</x:v>
      </x:c>
      <x:c r="E85" s="66" t="str">
        <x:v>A compromised database path could change the returned identity.</x:v>
      </x:c>
      <x:c r="F85" s="67" t="n">
        <x:v>1</x:v>
      </x:c>
      <x:c r="G85" s="67" t="n">
        <x:v>3</x:v>
      </x:c>
      <x:c r="H85" s="67" t="n">
        <x:f>F85*G85</x:f>
        <x:v>3</x:v>
      </x:c>
      <x:c r="I85" s="66" t="str">
        <x:v>L: Requires a compromised database or internal connection path. I: Changed identity fields can become an authenticated session.</x:v>
      </x:c>
      <x:c r="J85" s="66" t="str">
        <x:v>STRIDE 12-T; web/app.py:155-169</x:v>
      </x:c>
    </x:row>
    <x:row r="86" ht="51" customHeight="1">
      <x:c r="A86" s="60"/>
      <x:c r="B86" s="66" t="str">
        <x:v>12-I</x:v>
      </x:c>
      <x:c r="C86" s="66" t="str">
        <x:v>12</x:v>
      </x:c>
      <x:c r="D86" s="66" t="str">
        <x:v>I</x:v>
      </x:c>
      <x:c r="E86" s="66" t="str">
        <x:v>Database errors could reveal details on the login page.</x:v>
      </x:c>
      <x:c r="F86" s="67" t="n">
        <x:v>3</x:v>
      </x:c>
      <x:c r="G86" s="67" t="n">
        <x:v>1</x:v>
      </x:c>
      <x:c r="H86" s="67" t="n">
        <x:f>F86*G86</x:f>
        <x:v>3</x:v>
      </x:c>
      <x:c r="I86" s="66" t="str">
        <x:v>L: A malformed public login query can produce a raw error. I: Implementation details are exposed; secret or full-record disclosure is not presumed.</x:v>
      </x:c>
      <x:c r="J86" s="66" t="str">
        <x:v>STRIDE 12-I; web/app.py:147-159,175; web/templates/login.html:5</x:v>
      </x:c>
    </x:row>
    <x:row r="87" ht="51" customHeight="1">
      <x:c r="A87" s="60"/>
      <x:c r="B87" s="66" t="str">
        <x:v>12-D</x:v>
      </x:c>
      <x:c r="C87" s="66" t="str">
        <x:v>12</x:v>
      </x:c>
      <x:c r="D87" s="66" t="str">
        <x:v>D</x:v>
      </x:c>
      <x:c r="E87" s="66" t="str">
        <x:v>A failed or delayed database could stop login.</x:v>
      </x:c>
      <x:c r="F87" s="67" t="n">
        <x:v>1</x:v>
      </x:c>
      <x:c r="G87" s="67" t="n">
        <x:v>2</x:v>
      </x:c>
      <x:c r="H87" s="67" t="n">
        <x:f>F87*G87</x:f>
        <x:v>2</x:v>
      </x:c>
      <x:c r="I87" s="66" t="str">
        <x:v>L: Requires an unusual database or connectivity failure rather than normal login input alone. I: Users cannot authenticate while the dependency is unavailable.</x:v>
      </x:c>
      <x:c r="J87" s="66" t="str">
        <x:v>STRIDE 12-D; web/app.py:48-54,152-161</x:v>
      </x:c>
    </x:row>
    <x:row r="88" ht="51" customHeight="1">
      <x:c r="A88" s="60"/>
      <x:c r="B88" s="66" t="str">
        <x:v>13-S</x:v>
      </x:c>
      <x:c r="C88" s="66" t="str">
        <x:v>13</x:v>
      </x:c>
      <x:c r="D88" s="66" t="str">
        <x:v>S</x:v>
      </x:c>
      <x:c r="E88" s="66" t="str">
        <x:v>Known database credentials could allow app impersonation if reachable.</x:v>
      </x:c>
      <x:c r="F88" s="67" t="n">
        <x:v>2</x:v>
      </x:c>
      <x:c r="G88" s="67" t="n">
        <x:v>3</x:v>
      </x:c>
      <x:c r="H88" s="67" t="n">
        <x:f>F88*G88</x:f>
        <x:v>6</x:v>
      </x:c>
      <x:c r="I88" s="66" t="str">
        <x:v>L: Requires network reachability to PostgreSQL using the unchanged published credential. I: Database access can expose broad records or enable unauthorized writes, depending on permissions.</x:v>
      </x:c>
      <x:c r="J88" s="66" t="str">
        <x:v>STRIDE 13-S; docker-compose.yml:5-12,22-25; web/app.py:25-28,48-54</x:v>
      </x:c>
    </x:row>
    <x:row r="89" ht="51" customHeight="1">
      <x:c r="A89" s="60"/>
      <x:c r="B89" s="66" t="str">
        <x:v>13-R</x:v>
      </x:c>
      <x:c r="C89" s="66" t="str">
        <x:v>13</x:v>
      </x:c>
      <x:c r="D89" s="66" t="str">
        <x:v>R</x:v>
      </x:c>
      <x:c r="E89" s="66" t="str">
        <x:v>The shared database account could hide the real reader.</x:v>
      </x:c>
      <x:c r="F89" s="67" t="n">
        <x:v>2</x:v>
      </x:c>
      <x:c r="G89" s="67" t="n">
        <x:v>1</x:v>
      </x:c>
      <x:c r="H89" s="67" t="n">
        <x:f>F89*G89</x:f>
        <x:v>2</x:v>
      </x:c>
      <x:c r="I89" s="66" t="str">
        <x:v>L: Requires investigation of database queries; end-user identity is absent at this layer. I: Query attribution is limited, without an independent data change.</x:v>
      </x:c>
      <x:c r="J89" s="66" t="str">
        <x:v>STRIDE 13-R; web/app.py:48-54,190-216,231-242,282-295,315-318</x:v>
      </x:c>
    </x:row>
    <x:row r="90" ht="51" customHeight="1">
      <x:c r="A90" s="60"/>
      <x:c r="B90" s="66" t="str">
        <x:v>13-I</x:v>
      </x:c>
      <x:c r="C90" s="66" t="str">
        <x:v>13</x:v>
      </x:c>
      <x:c r="D90" s="66" t="str">
        <x:v>I</x:v>
      </x:c>
      <x:c r="E90" s="66" t="str">
        <x:v>Queries could return other students' grades or other teachers' classes.</x:v>
      </x:c>
      <x:c r="F90" s="67" t="n">
        <x:v>3</x:v>
      </x:c>
      <x:c r="G90" s="67" t="n">
        <x:v>3</x:v>
      </x:c>
      <x:c r="H90" s="67" t="n">
        <x:f>F90*G90</x:f>
        <x:v>9</x:v>
      </x:c>
      <x:c r="I90" s="66" t="str">
        <x:v>L: Normal API and teacher reads lack the relevant ownership filters. I: Querying IDs or whole classes can disclose many students' private records.</x:v>
      </x:c>
      <x:c r="J90" s="66" t="str">
        <x:v>STRIDE 13-I; web/app.py:201-222,231-242,282-295</x:v>
      </x:c>
    </x:row>
    <x:row r="91" ht="51" customHeight="1">
      <x:c r="A91" s="60"/>
      <x:c r="B91" s="66" t="str">
        <x:v>13-D</x:v>
      </x:c>
      <x:c r="C91" s="66" t="str">
        <x:v>13</x:v>
      </x:c>
      <x:c r="D91" s="66" t="str">
        <x:v>D</x:v>
      </x:c>
      <x:c r="E91" s="66" t="str">
        <x:v>Reading every record could consume too many resources.</x:v>
      </x:c>
      <x:c r="F91" s="67" t="n">
        <x:v>2</x:v>
      </x:c>
      <x:c r="G91" s="67" t="n">
        <x:v>2</x:v>
      </x:c>
      <x:c r="H91" s="67" t="n">
        <x:f>F91*G91</x:f>
        <x:v>4</x:v>
      </x:c>
      <x:c r="I91" s="66" t="str">
        <x:v>L: Requires large datasets or repeated full reads; queries have no pagination. I: Database and application memory pressure could impair availability.</x:v>
      </x:c>
      <x:c r="J91" s="66" t="str">
        <x:v>STRIDE 13-D; web/app.py:231-242,291-306,315-318,344-359</x:v>
      </x:c>
    </x:row>
    <x:row r="92" ht="51" customHeight="1">
      <x:c r="A92" s="60"/>
      <x:c r="B92" s="66" t="str">
        <x:v>13-E</x:v>
      </x:c>
      <x:c r="C92" s="66" t="str">
        <x:v>13</x:v>
      </x:c>
      <x:c r="D92" s="66" t="str">
        <x:v>E</x:v>
      </x:c>
      <x:c r="E92" s="66" t="str">
        <x:v>Grade queries could exceed the user's allowed record scope.</x:v>
      </x:c>
      <x:c r="F92" s="67" t="n">
        <x:v>3</x:v>
      </x:c>
      <x:c r="G92" s="67" t="n">
        <x:v>3</x:v>
      </x:c>
      <x:c r="H92" s="67" t="n">
        <x:f>F92*G92</x:f>
        <x:v>9</x:v>
      </x:c>
      <x:c r="I92" s="66" t="str">
        <x:v>L: An ordinary student or teacher can use normal reads without ownership enforcement. I: Grade privacy can be breached broadly; read access does not itself grant admin write rights.</x:v>
      </x:c>
      <x:c r="J92" s="66" t="str">
        <x:v>STRIDE 13-E; web/app.py:201-222,225-244,275-306</x:v>
      </x:c>
    </x:row>
    <x:row r="93" ht="51" customHeight="1">
      <x:c r="A93" s="60"/>
      <x:c r="B93" s="66" t="str">
        <x:v>14-S</x:v>
      </x:c>
      <x:c r="C93" s="66" t="str">
        <x:v>14</x:v>
      </x:c>
      <x:c r="D93" s="66" t="str">
        <x:v>S</x:v>
      </x:c>
      <x:c r="E93" s="66" t="str">
        <x:v>A fake database could provide false grade results.</x:v>
      </x:c>
      <x:c r="F93" s="67" t="n">
        <x:v>1</x:v>
      </x:c>
      <x:c r="G93" s="67" t="n">
        <x:v>3</x:v>
      </x:c>
      <x:c r="H93" s="67" t="n">
        <x:f>F93*G93</x:f>
        <x:v>3</x:v>
      </x:c>
      <x:c r="I93" s="66" t="str">
        <x:v>L: Requires unusual control of the database service or endpoint. I: False grade records across users can undermine educational record integrity.</x:v>
      </x:c>
      <x:c r="J93" s="66" t="str">
        <x:v>STRIDE 14-S; web/app.py:48-54,190-222,231-244</x:v>
      </x:c>
    </x:row>
    <x:row r="94" ht="51" customHeight="1">
      <x:c r="A94" s="60"/>
      <x:c r="B94" s="66" t="str">
        <x:v>14-T</x:v>
      </x:c>
      <x:c r="C94" s="66" t="str">
        <x:v>14</x:v>
      </x:c>
      <x:c r="D94" s="66" t="str">
        <x:v>T</x:v>
      </x:c>
      <x:c r="E94" s="66" t="str">
        <x:v>A compromised database path could alter grades and lists.</x:v>
      </x:c>
      <x:c r="F94" s="67" t="n">
        <x:v>1</x:v>
      </x:c>
      <x:c r="G94" s="67" t="n">
        <x:v>3</x:v>
      </x:c>
      <x:c r="H94" s="67" t="n">
        <x:f>F94*G94</x:f>
        <x:v>3</x:v>
      </x:c>
      <x:c r="I94" s="66" t="str">
        <x:v>L: Requires prior database or internal-channel compromise. I: Grade or user-list integrity could be lost across many records.</x:v>
      </x:c>
      <x:c r="J94" s="66" t="str">
        <x:v>STRIDE 14-T; web/app.py:190-244,315-321</x:v>
      </x:c>
    </x:row>
    <x:row r="95" ht="51" customHeight="1">
      <x:c r="A95" s="60"/>
      <x:c r="B95" s="66" t="str">
        <x:v>14-I</x:v>
      </x:c>
      <x:c r="C95" s="66" t="str">
        <x:v>14</x:v>
      </x:c>
      <x:c r="D95" s="66" t="str">
        <x:v>I</x:v>
      </x:c>
      <x:c r="E95" s="66" t="str">
        <x:v>Results could include another student's name and grades.</x:v>
      </x:c>
      <x:c r="F95" s="67" t="n">
        <x:v>3</x:v>
      </x:c>
      <x:c r="G95" s="67" t="n">
        <x:v>3</x:v>
      </x:c>
      <x:c r="H95" s="67" t="n">
        <x:f>F95*G95</x:f>
        <x:v>9</x:v>
      </x:c>
      <x:c r="I95" s="66" t="str">
        <x:v>L: A normal authenticated API request can select an unowned record. I: Enumerating records can expose names, grades and comments broadly.</x:v>
      </x:c>
      <x:c r="J95" s="66" t="str">
        <x:v>STRIDE 14-I; web/app.py:201-222</x:v>
      </x:c>
    </x:row>
    <x:row r="96" ht="51" customHeight="1">
      <x:c r="A96" s="60"/>
      <x:c r="B96" s="66" t="str">
        <x:v>14-Da</x:v>
      </x:c>
      <x:c r="C96" s="66" t="str">
        <x:v>14</x:v>
      </x:c>
      <x:c r="D96" s="66" t="str">
        <x:v>D</x:v>
      </x:c>
      <x:c r="E96" s="66" t="str">
        <x:v>Too many returned records could block the page.</x:v>
      </x:c>
      <x:c r="F96" s="67" t="n">
        <x:v>2</x:v>
      </x:c>
      <x:c r="G96" s="67" t="n">
        <x:v>2</x:v>
      </x:c>
      <x:c r="H96" s="67" t="n">
        <x:f>F96*G96</x:f>
        <x:v>4</x:v>
      </x:c>
      <x:c r="I96" s="66" t="str">
        <x:v>L: Requires large data volume or repeated all-record requests. I: Database and application resources may be unavailable to other users.</x:v>
      </x:c>
      <x:c r="J96" s="66" t="str">
        <x:v>STRIDE 14-D; web/app.py:231-244,291-306; db/init.sql:26-32</x:v>
      </x:c>
    </x:row>
    <x:row r="97" ht="51" customHeight="1">
      <x:c r="A97" s="60"/>
      <x:c r="B97" s="66" t="str">
        <x:v>14-Db</x:v>
      </x:c>
      <x:c r="C97" s="66" t="str">
        <x:v>14</x:v>
      </x:c>
      <x:c r="D97" s="66" t="str">
        <x:v>D</x:v>
      </x:c>
      <x:c r="E97" s="66" t="str">
        <x:v>Database failure could stop page data from arriving.</x:v>
      </x:c>
      <x:c r="F97" s="67" t="n">
        <x:v>1</x:v>
      </x:c>
      <x:c r="G97" s="67" t="n">
        <x:v>2</x:v>
      </x:c>
      <x:c r="H97" s="67" t="n">
        <x:f>F97*G97</x:f>
        <x:v>2</x:v>
      </x:c>
      <x:c r="I97" s="66" t="str">
        <x:v>L: Requires an unusual database or connection failure. I: Core grade and management pages cannot complete.</x:v>
      </x:c>
      <x:c r="J97" s="66" t="str">
        <x:v>STRIDE 14-D; web/app.py:48-54,188-198,229-244,313-321</x:v>
      </x:c>
    </x:row>
    <x:row r="98" ht="51" customHeight="1">
      <x:c r="A98" s="60"/>
      <x:c r="B98" s="66" t="str">
        <x:v>15-S</x:v>
      </x:c>
      <x:c r="C98" s="66" t="str">
        <x:v>15</x:v>
      </x:c>
      <x:c r="D98" s="66" t="str">
        <x:v>S</x:v>
      </x:c>
      <x:c r="E98" s="66" t="str">
        <x:v>Stolen database passwords could allow fake application writes.</x:v>
      </x:c>
      <x:c r="F98" s="67" t="n">
        <x:v>1</x:v>
      </x:c>
      <x:c r="G98" s="67" t="n">
        <x:v>3</x:v>
      </x:c>
      <x:c r="H98" s="67" t="n">
        <x:f>F98*G98</x:f>
        <x:v>3</x:v>
      </x:c>
      <x:c r="I98" s="66" t="str">
        <x:v>L: Requires prior credential theft plus a reachable database connection. I: Unauthorized database writes could change grades or users.</x:v>
      </x:c>
      <x:c r="J98" s="66" t="str">
        <x:v>STRIDE 15-S; web/app.py:48-54,259-269,369-377</x:v>
      </x:c>
    </x:row>
    <x:row r="99" ht="51" customHeight="1">
      <x:c r="A99" s="60"/>
      <x:c r="B99" s="66" t="str">
        <x:v>15-Ta</x:v>
      </x:c>
      <x:c r="C99" s="66" t="str">
        <x:v>15</x:v>
      </x:c>
      <x:c r="D99" s="66" t="str">
        <x:v>T</x:v>
      </x:c>
      <x:c r="E99" s="66" t="str">
        <x:v>Grade writes could change records outside a teacher's classes.</x:v>
      </x:c>
      <x:c r="F99" s="67" t="n">
        <x:v>3</x:v>
      </x:c>
      <x:c r="G99" s="67" t="n">
        <x:v>3</x:v>
      </x:c>
      <x:c r="H99" s="67" t="n">
        <x:f>F99*G99</x:f>
        <x:v>9</x:v>
      </x:c>
      <x:c r="I99" s="66" t="str">
        <x:v>L: Ordinary teacher writes use supplied IDs without course ownership checks. I: Unauthorized grade modification directly harms record integrity.</x:v>
      </x:c>
      <x:c r="J99" s="66" t="str">
        <x:v>STRIDE 15-T; web/app.py:247-269</x:v>
      </x:c>
    </x:row>
    <x:row r="100" ht="51" customHeight="1">
      <x:c r="A100" s="60"/>
      <x:c r="B100" s="66" t="str">
        <x:v>15-Tb</x:v>
      </x:c>
      <x:c r="C100" s="66" t="str">
        <x:v>15</x:v>
      </x:c>
      <x:c r="D100" s="66" t="str">
        <x:v>T</x:v>
      </x:c>
      <x:c r="E100" s="66" t="str">
        <x:v>Unexpected role text could create invalid user records.</x:v>
      </x:c>
      <x:c r="F100" s="67" t="n">
        <x:v>2</x:v>
      </x:c>
      <x:c r="G100" s="67" t="n">
        <x:v>1</x:v>
      </x:c>
      <x:c r="H100" s="67" t="n">
        <x:f>F100*G100</x:f>
        <x:v>2</x:v>
      </x:c>
      <x:c r="I100" s="66" t="str">
        <x:v>L: Requires admin access and submission of an unsupported role string. I: Inconsistent role data may disrupt that user's access; legitimate admin role selection is excluded.</x:v>
      </x:c>
      <x:c r="J100" s="66" t="str">
        <x:v>STRIDE 15-T; web/app.py:362-375; db/init.sql:6-11</x:v>
      </x:c>
    </x:row>
    <x:row r="101" ht="51" customHeight="1">
      <x:c r="A101" s="60"/>
      <x:c r="B101" s="66" t="str">
        <x:v>15-Ra</x:v>
      </x:c>
      <x:c r="C101" s="66" t="str">
        <x:v>15</x:v>
      </x:c>
      <x:c r="D101" s="66" t="str">
        <x:v>R</x:v>
      </x:c>
      <x:c r="E101" s="66" t="str">
        <x:v>Grade changes could lack before-and-after evidence.</x:v>
      </x:c>
      <x:c r="F101" s="67" t="n">
        <x:v>2</x:v>
      </x:c>
      <x:c r="G101" s="67" t="n">
        <x:v>2</x:v>
      </x:c>
      <x:c r="H101" s="67" t="n">
        <x:f>F101*G101</x:f>
        <x:v>4</x:v>
      </x:c>
      <x:c r="I101" s="66" t="str">
        <x:v>L: Requires a changed grade and a later dispute; the log stores no old/new values. I: Meaningful record changes cannot be reliably reconstructed.</x:v>
      </x:c>
      <x:c r="J101" s="66" t="str">
        <x:v>STRIDE 15-R; web/app.py:259-271</x:v>
      </x:c>
    </x:row>
    <x:row r="102" ht="51" customHeight="1">
      <x:c r="A102" s="60"/>
      <x:c r="B102" s="66" t="str">
        <x:v>15-Rb</x:v>
      </x:c>
      <x:c r="C102" s="66" t="str">
        <x:v>15</x:v>
      </x:c>
      <x:c r="D102" s="66" t="str">
        <x:v>R</x:v>
      </x:c>
      <x:c r="E102" s="66" t="str">
        <x:v>User changes could leave no audit evidence.</x:v>
      </x:c>
      <x:c r="F102" s="67" t="n">
        <x:v>2</x:v>
      </x:c>
      <x:c r="G102" s="67" t="n">
        <x:v>2</x:v>
      </x:c>
      <x:c r="H102" s="67" t="n">
        <x:f>F102*G102</x:f>
        <x:v>4</x:v>
      </x:c>
      <x:c r="I102" s="66" t="str">
        <x:v>L: Requires admin user creation or deletion, for which no log is written. I: Account changes cannot be reliably attributed or reconstructed.</x:v>
      </x:c>
      <x:c r="J102" s="66" t="str">
        <x:v>STRIDE 15-R; web/app.py:362-379</x:v>
      </x:c>
    </x:row>
    <x:row r="103" ht="51" customHeight="1">
      <x:c r="A103" s="60"/>
      <x:c r="B103" s="66" t="str">
        <x:v>15-I</x:v>
      </x:c>
      <x:c r="C103" s="66" t="str">
        <x:v>15</x:v>
      </x:c>
      <x:c r="D103" s="66" t="str">
        <x:v>I</x:v>
      </x:c>
      <x:c r="E103" s="66" t="str">
        <x:v>Plaintext new-user passwords could leak from storage.</x:v>
      </x:c>
      <x:c r="F103" s="67" t="n">
        <x:v>1</x:v>
      </x:c>
      <x:c r="G103" s="67" t="n">
        <x:v>3</x:v>
      </x:c>
      <x:c r="H103" s="67" t="n">
        <x:f>F103*G103</x:f>
        <x:v>3</x:v>
      </x:c>
      <x:c r="I103" s="66" t="str">
        <x:v>L: Requires pre-existing access to database records or backups. I: Exposed plaintext passwords can compromise accounts.</x:v>
      </x:c>
      <x:c r="J103" s="66" t="str">
        <x:v>STRIDE 15-I; web/app.py:369-375; db/init.sql:6-10</x:v>
      </x:c>
    </x:row>
    <x:row r="104" ht="51" customHeight="1">
      <x:c r="A104" s="60"/>
      <x:c r="B104" s="66" t="str">
        <x:v>15-D</x:v>
      </x:c>
      <x:c r="C104" s="66" t="str">
        <x:v>15</x:v>
      </x:c>
      <x:c r="D104" s="66" t="str">
        <x:v>D</x:v>
      </x:c>
      <x:c r="E104" s="66" t="str">
        <x:v>Many large writes could fill storage or overload the database.</x:v>
      </x:c>
      <x:c r="F104" s="67" t="n">
        <x:v>2</x:v>
      </x:c>
      <x:c r="G104" s="67" t="n">
        <x:v>2</x:v>
      </x:c>
      <x:c r="H104" s="67" t="n">
        <x:f>F104*G104</x:f>
        <x:v>4</x:v>
      </x:c>
      <x:c r="I104" s="66" t="str">
        <x:v>L: Requires writer access plus high volume or oversized records; comment TEXT has no application limit. I: Database and application availability may be lost.</x:v>
      </x:c>
      <x:c r="J104" s="66" t="str">
        <x:v>STRIDE 15-D; web/app.py:247-269,362-375; db/init.sql:26-32</x:v>
      </x:c>
    </x:row>
    <x:row r="105" ht="51" customHeight="1">
      <x:c r="A105" s="60"/>
      <x:c r="B105" s="66" t="str">
        <x:v>15-E</x:v>
      </x:c>
      <x:c r="C105" s="66" t="str">
        <x:v>15</x:v>
      </x:c>
      <x:c r="D105" s="66" t="str">
        <x:v>E</x:v>
      </x:c>
      <x:c r="E105" s="66" t="str">
        <x:v>Teachers could change grades belonging to other classes.</x:v>
      </x:c>
      <x:c r="F105" s="67" t="n">
        <x:v>3</x:v>
      </x:c>
      <x:c r="G105" s="67" t="n">
        <x:v>3</x:v>
      </x:c>
      <x:c r="H105" s="67" t="n">
        <x:f>F105*G105</x:f>
        <x:v>9</x:v>
      </x:c>
      <x:c r="I105" s="66" t="str">
        <x:v>L: An ordinary teacher can submit another class's record ID without ownership checks. I: Unauthorized grade changes are a severe integrity loss.</x:v>
      </x:c>
      <x:c r="J105" s="66" t="str">
        <x:v>STRIDE 15-E; web/app.py:247-269</x:v>
      </x:c>
    </x:row>
    <x:row r="106" ht="51" customHeight="1">
      <x:c r="A106" s="60"/>
      <x:c r="B106" s="66" t="str">
        <x:v>16-S</x:v>
      </x:c>
      <x:c r="C106" s="66" t="str">
        <x:v>16</x:v>
      </x:c>
      <x:c r="D106" s="66" t="str">
        <x:v>S</x:v>
      </x:c>
      <x:c r="E106" s="66" t="str">
        <x:v>A compromised database could falsely report a successful write.</x:v>
      </x:c>
      <x:c r="F106" s="67" t="n">
        <x:v>1</x:v>
      </x:c>
      <x:c r="G106" s="67" t="n">
        <x:v>2</x:v>
      </x:c>
      <x:c r="H106" s="67" t="n">
        <x:f>F106*G106</x:f>
        <x:v>2</x:v>
      </x:c>
      <x:c r="I106" s="66" t="str">
        <x:v>L: Requires prior database compromise. I: False success status could cause meaningful grade or user-management mistakes; this response alone grants no privileges.</x:v>
      </x:c>
      <x:c r="J106" s="66" t="str">
        <x:v>STRIDE 16-S; web/app.py:259-272,369-379</x:v>
      </x:c>
    </x:row>
    <x:row r="107" ht="51" customHeight="1">
      <x:c r="A107" s="60"/>
      <x:c r="B107" s="66" t="str">
        <x:v>16-T</x:v>
      </x:c>
      <x:c r="C107" s="66" t="str">
        <x:v>16</x:v>
      </x:c>
      <x:c r="D107" s="66" t="str">
        <x:v>T</x:v>
      </x:c>
      <x:c r="E107" s="66" t="str">
        <x:v>A compromised database path could alter operation status.</x:v>
      </x:c>
      <x:c r="F107" s="67" t="n">
        <x:v>1</x:v>
      </x:c>
      <x:c r="G107" s="67" t="n">
        <x:v>2</x:v>
      </x:c>
      <x:c r="H107" s="67" t="n">
        <x:f>F107*G107</x:f>
        <x:v>2</x:v>
      </x:c>
      <x:c r="I107" s="66" t="str">
        <x:v>L: Requires prior control of the database or internal connection. I: Callers may rely on false completion or failure feedback.</x:v>
      </x:c>
      <x:c r="J107" s="66" t="str">
        <x:v>STRIDE 16-T; web/app.py:259-272,369-379</x:v>
      </x:c>
    </x:row>
    <x:row r="108" ht="51" customHeight="1">
      <x:c r="A108" s="60"/>
      <x:c r="B108" s="66" t="str">
        <x:v>16-Ra</x:v>
      </x:c>
      <x:c r="C108" s="66" t="str">
        <x:v>16</x:v>
      </x:c>
      <x:c r="D108" s="66" t="str">
        <x:v>R</x:v>
      </x:c>
      <x:c r="E108" s="66" t="str">
        <x:v>Committed writes could be missing from the application log.</x:v>
      </x:c>
      <x:c r="F108" s="67" t="n">
        <x:v>1</x:v>
      </x:c>
      <x:c r="G108" s="67" t="n">
        <x:v>2</x:v>
      </x:c>
      <x:c r="H108" s="67" t="n">
        <x:f>F108*G108</x:f>
        <x:v>2</x:v>
      </x:c>
      <x:c r="I108" s="66" t="str">
        <x:v>L: Requires interrupted or failed logging after the database commit; write errors are silently ignored by the logger. I: Meaningful committed grade changes may have no matching audit entry.</x:v>
      </x:c>
      <x:c r="J108" s="66" t="str">
        <x:v>STRIDE 16-R; web/app.py:38-44,53,259-271</x:v>
      </x:c>
    </x:row>
    <x:row r="109" ht="51" customHeight="1">
      <x:c r="A109" s="60"/>
      <x:c r="B109" s="66" t="str">
        <x:v>16-Rb</x:v>
      </x:c>
      <x:c r="C109" s="66" t="str">
        <x:v>16</x:v>
      </x:c>
      <x:c r="D109" s="66" t="str">
        <x:v>R</x:v>
      </x:c>
      <x:c r="E109" s="66" t="str">
        <x:v>User writes could have no audit record at all.</x:v>
      </x:c>
      <x:c r="F109" s="67" t="n">
        <x:v>2</x:v>
      </x:c>
      <x:c r="G109" s="67" t="n">
        <x:v>2</x:v>
      </x:c>
      <x:c r="H109" s="67" t="n">
        <x:f>F109*G109</x:f>
        <x:v>4</x:v>
      </x:c>
      <x:c r="I109" s="66" t="str">
        <x:v>L: Requires admin user changes; the route never creates an audit entry. I: Account changes cannot be reliably attributed or reconstructed.</x:v>
      </x:c>
      <x:c r="J109" s="66" t="str">
        <x:v>STRIDE 16-R; web/app.py:362-379</x:v>
      </x:c>
    </x:row>
    <x:row r="110" ht="51" customHeight="1">
      <x:c r="A110" s="60"/>
      <x:c r="B110" s="66" t="str">
        <x:v>16-I</x:v>
      </x:c>
      <x:c r="C110" s="66" t="str">
        <x:v>16</x:v>
      </x:c>
      <x:c r="D110" s="66" t="str">
        <x:v>I</x:v>
      </x:c>
      <x:c r="E110" s="66" t="str">
        <x:v>Write errors might reveal internal details.</x:v>
      </x:c>
      <x:c r="F110" s="67" t="n">
        <x:v>2</x:v>
      </x:c>
      <x:c r="G110" s="67" t="n">
        <x:v>1</x:v>
      </x:c>
      <x:c r="H110" s="67" t="n">
        <x:f>F110*G110</x:f>
        <x:v>2</x:v>
      </x:c>
      <x:c r="I110" s="66" t="str">
        <x:v>L: Requires a writer to trigger an error with debug output reachable; actual response behavior was not tested. I: Runtime details may be exposed; passwords or broad data exposure are not assumed.</x:v>
      </x:c>
      <x:c r="J110" s="66" t="str">
        <x:v>STRIDE 16-I; web/app.py:259-269,369-377,392-394</x:v>
      </x:c>
    </x:row>
    <x:row r="111" ht="51" customHeight="1">
      <x:c r="A111" s="60"/>
      <x:c r="B111" s="66" t="str">
        <x:v>16-D</x:v>
      </x:c>
      <x:c r="C111" s="66" t="str">
        <x:v>16</x:v>
      </x:c>
      <x:c r="D111" s="66" t="str">
        <x:v>D</x:v>
      </x:c>
      <x:c r="E111" s="66" t="str">
        <x:v>Database errors or delays could leave writes unconfirmed.</x:v>
      </x:c>
      <x:c r="F111" s="67" t="n">
        <x:v>1</x:v>
      </x:c>
      <x:c r="G111" s="67" t="n">
        <x:v>2</x:v>
      </x:c>
      <x:c r="H111" s="67" t="n">
        <x:f>F111*G111</x:f>
        <x:v>2</x:v>
      </x:c>
      <x:c r="I111" s="66" t="str">
        <x:v>L: Requires an unusual database or connectivity failure. I: Grade or user changes may fail or lack timely confirmation.</x:v>
      </x:c>
      <x:c r="J111" s="66" t="str">
        <x:v>STRIDE 16-D; web/app.py:48-54,259-272,369-379</x:v>
      </x:c>
    </x:row>
  </x:sheetData>
  <x:dataValidations count="1">
    <x:dataValidation type="whole" operator="between" sqref="F12:G111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.75" hidden="0" customWidth="1"/>
    <x:col min="2" max="2" width="8.130000114440918" hidden="0" customWidth="1"/>
    <x:col min="3" max="3" width="53.75" hidden="0" customWidth="1"/>
    <x:col min="4" max="4" width="11.880000114440918" hidden="0" customWidth="1"/>
    <x:col min="5" max="5" width="10.630000114440918" hidden="0" customWidth="1"/>
    <x:col min="6" max="6" width="10.630000114440918" hidden="0" customWidth="1"/>
    <x:col min="7" max="7" width="10.630000114440918" hidden="0" customWidth="1"/>
    <x:col min="8" max="8" width="62.5" hidden="0" customWidth="1"/>
    <x:col min="9" max="9" width="73.75" hidden="0" customWidth="1"/>
  </x:cols>
  <x:sheetData>
    <x:row r="1" ht="20" customHeight="1">
      <x:c r="A1" s="60"/>
      <x:c r="B1" s="60"/>
      <x:c r="C1" s="60"/>
      <x:c r="D1" s="60"/>
      <x:c r="E1" s="60"/>
      <x:c r="F1" s="60"/>
      <x:c r="G1" s="60"/>
      <x:c r="H1" s="60"/>
      <x:c r="I1" s="60"/>
    </x:row>
    <x:row r="2" ht="24" customHeight="1">
      <x:c r="A2" s="60"/>
      <x:c r="B2" s="61" t="str">
        <x:v>Top 3 selected root causes</x:v>
      </x:c>
      <x:c r="C2" s="61"/>
      <x:c r="D2" s="61"/>
      <x:c r="E2" s="61"/>
      <x:c r="F2" s="61"/>
      <x:c r="G2" s="61"/>
      <x:c r="H2" s="61"/>
      <x:c r="I2" s="61"/>
    </x:row>
    <x:row r="3" ht="20" customHeight="1">
      <x:c r="A3" s="60"/>
      <x:c r="B3" s="60" t="str">
        <x:v>All three selections score 9 and are distinct root causes. Repeated symptoms are grouped, not added together. Choice numbers express a qualitative choice among ties.</x:v>
      </x:c>
      <x:c r="C3" s="60"/>
      <x:c r="D3" s="60"/>
      <x:c r="E3" s="60"/>
      <x:c r="F3" s="60"/>
      <x:c r="G3" s="60"/>
      <x:c r="H3" s="60"/>
      <x:c r="I3" s="60"/>
    </x:row>
    <x:row r="4" ht="20" customHeight="1">
      <x:c r="A4" s="60"/>
      <x:c r="B4" s="60" t="str">
        <x:v>Default credentials and the public session key also score 9. Scores below are linked to representative risk rows. Review this selection after changing ratings.</x:v>
      </x:c>
      <x:c r="C4" s="60"/>
      <x:c r="D4" s="60"/>
      <x:c r="E4" s="60"/>
      <x:c r="F4" s="60"/>
      <x:c r="G4" s="60"/>
      <x:c r="H4" s="60"/>
      <x:c r="I4" s="60"/>
    </x:row>
    <x:row r="5" ht="20" customHeight="1">
      <x:c r="A5" s="60"/>
      <x:c r="B5" s="60" t="str">
        <x:v>Fixes and checks are proposals for future work. They have not been implemented or executed.</x:v>
      </x:c>
      <x:c r="C5" s="60"/>
      <x:c r="D5" s="60"/>
      <x:c r="E5" s="60"/>
      <x:c r="F5" s="60"/>
      <x:c r="G5" s="60"/>
      <x:c r="H5" s="60"/>
      <x:c r="I5" s="60"/>
    </x:row>
    <x:row r="6" ht="31.5" customHeight="1">
      <x:c r="A6" s="60"/>
      <x:c r="B6" s="71" t="str">
        <x:v>Choice</x:v>
      </x:c>
      <x:c r="C6" s="71" t="str">
        <x:v>Root cause and reason</x:v>
      </x:c>
      <x:c r="D6" s="71" t="str">
        <x:v>Risk ID</x:v>
      </x:c>
      <x:c r="E6" s="71" t="str">
        <x:v>Likelihood</x:v>
      </x:c>
      <x:c r="F6" s="71" t="str">
        <x:v>Impact</x:v>
      </x:c>
      <x:c r="G6" s="71" t="str">
        <x:v>Risk</x:v>
      </x:c>
      <x:c r="H6" s="71" t="str">
        <x:v>Proposed fix</x:v>
      </x:c>
      <x:c r="I6" s="71" t="str">
        <x:v>Planned check</x:v>
      </x:c>
    </x:row>
    <x:row r="7" ht="93.75" customHeight="1">
      <x:c r="A7" s="60"/>
      <x:c r="B7" s="73" t="n">
        <x:v>1</x:v>
      </x:c>
      <x:c r="C7" s="66" t="str">
        <x:v>Login SQL injection
The public login joins user input into SQL, so one request path can undermine authentication for every role. It is selected first among equal 9-point risks because it crosses the initial login boundary.</x:v>
      </x:c>
      <x:c r="D7" s="66" t="str">
        <x:v>1-T</x:v>
      </x:c>
      <x:c r="E7" s="67" t="n">
        <x:f>INDEX('Risk analysis'!$F$12:$F$111,MATCH($D7,'Risk analysis'!$B$12:$B$111,0))</x:f>
        <x:v>3</x:v>
      </x:c>
      <x:c r="F7" s="67" t="n">
        <x:f>INDEX('Risk analysis'!$G$12:$G$111,MATCH($D7,'Risk analysis'!$B$12:$B$111,0))</x:f>
        <x:v>3</x:v>
      </x:c>
      <x:c r="G7" s="67" t="n">
        <x:f>INDEX('Risk analysis'!$H$12:$H$111,MATCH($D7,'Risk analysis'!$B$12:$B$111,0))</x:f>
        <x:v>9</x:v>
      </x:c>
      <x:c r="H7" s="66" t="str">
        <x:v>Use a parameterized username lookup and verify a stored password hash. Never concatenate login input into SQL. Return generic login errors.</x:v>
      </x:c>
      <x:c r="I7" s="66" t="str">
        <x:v>After a future fix, check that normal role logins still work and malformed credentials remain plain data and cannot authenticate. Review the query for bound parameters and password-hash verification.</x:v>
      </x:c>
    </x:row>
    <x:row r="8" ht="93.75" customHeight="1">
      <x:c r="A8" s="60"/>
      <x:c r="B8" s="73" t="n">
        <x:v>2</x:v>
      </x:c>
      <x:c r="C8" s="66" t="str">
        <x:v>Missing grade ownership checks
Ordinary users can access other records, and teachers can change grades outside their assigned classes. This protects the application's main asset and covers several duplicate read/write symptoms.</x:v>
      </x:c>
      <x:c r="D8" s="66" t="str">
        <x:v>6-Tb</x:v>
      </x:c>
      <x:c r="E8" s="67" t="n">
        <x:f>INDEX('Risk analysis'!$F$12:$F$111,MATCH($D8,'Risk analysis'!$B$12:$B$111,0))</x:f>
        <x:v>3</x:v>
      </x:c>
      <x:c r="F8" s="67" t="n">
        <x:f>INDEX('Risk analysis'!$G$12:$G$111,MATCH($D8,'Risk analysis'!$B$12:$B$111,0))</x:f>
        <x:v>3</x:v>
      </x:c>
      <x:c r="G8" s="67" t="n">
        <x:f>INDEX('Risk analysis'!$H$12:$H$111,MATCH($D8,'Risk analysis'!$B$12:$B$111,0))</x:f>
        <x:v>9</x:v>
      </x:c>
      <x:c r="H8" s="66" t="str">
        <x:v>Check note.student_id against the current student. Restrict teacher reads, exports and writes to classes.teacher_id for that teacher. Reject disallowed records before returning or changing data.</x:v>
      </x:c>
      <x:c r="I8" s="66" t="str">
        <x:v>After a future fix, verify students can read only their own grades and teachers can view/export/change only assigned classes. Include allowed cases and cross-user/cross-class denials, including unchanged database records after denial.</x:v>
      </x:c>
    </x:row>
    <x:row r="9" ht="93.75" customHeight="1">
      <x:c r="A9" s="60"/>
      <x:c r="B9" s="73" t="n">
        <x:v>3</x:v>
      </x:c>
      <x:c r="C9" s="66" t="str">
        <x:v>Unsafe JWT verification
The API accepts unsigned alg:none tokens on an ordinary request path. This bypasses API identity checks and can expose grades broadly. It remains a distinct cause even though ownership checks are also missing.</x:v>
      </x:c>
      <x:c r="D9" s="66" t="str">
        <x:v>2-S</x:v>
      </x:c>
      <x:c r="E9" s="67" t="n">
        <x:f>INDEX('Risk analysis'!$F$12:$F$111,MATCH($D9,'Risk analysis'!$B$12:$B$111,0))</x:f>
        <x:v>3</x:v>
      </x:c>
      <x:c r="F9" s="67" t="n">
        <x:f>INDEX('Risk analysis'!$G$12:$G$111,MATCH($D9,'Risk analysis'!$B$12:$B$111,0))</x:f>
        <x:v>3</x:v>
      </x:c>
      <x:c r="G9" s="67" t="n">
        <x:f>INDEX('Risk analysis'!$H$12:$H$111,MATCH($D9,'Risk analysis'!$B$12:$B$111,0))</x:f>
        <x:v>9</x:v>
      </x:c>
      <x:c r="H9" s="66" t="str">
        <x:v>Use a maintained JWT library with an explicit allowed algorithm, require a valid signature with a strong private secret, require and validate expiry, and reject malformed claims. Keep record ownership checks as a separate control.</x:v>
      </x:c>
      <x:c r="I9" s="66" t="str">
        <x:v>After a future fix, confirm valid signed tokens work and unsigned, incorrectly signed, expired and malformed tokens receive 401. Separately verify that even a valid token cannot read an unowned grade.</x:v>
      </x:c>
    </x:row>
  </x:sheetData>
  <x:pageMargins left="0.7" right="0.7" top="0.75" bottom="0.75" header="0.3" footer="0.3"/>
</x:worksheet>
</file>